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GRESOS" sheetId="1" state="visible" r:id="rId1"/>
    <sheet name="JUNIO" sheetId="2" state="visible" r:id="rId2"/>
    <sheet name="JULIO" sheetId="3" state="visible" r:id="rId3"/>
    <sheet name="AGOSTO" sheetId="4" state="visible" r:id="rId4"/>
    <sheet name="SEPTIEMBRE" sheetId="5" state="visible" r:id="rId5"/>
    <sheet name="OCTUBRE" sheetId="6" state="visible" r:id="rId6"/>
    <sheet name="NOVIEMBRE" sheetId="7" state="visible" r:id="rId7"/>
    <sheet name="DICIEMBRE" sheetId="8" state="visible" r:id="rId8"/>
    <sheet name="RESUMEN ANUAL" sheetId="9" state="visible" r:id="rId9"/>
    <sheet name="CONFIG" sheetId="10" state="visible" r:id="rId10"/>
  </sheets>
  <definedNames>
    <definedName name="PCT_LOLI">INGRESOS!$B$11</definedName>
    <definedName name="PCT_TITO">INGRESOS!$C$11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&quot;$&quot;#,##0"/>
    <numFmt numFmtId="165" formatCode="0.0%"/>
  </numFmts>
  <fonts count="13">
    <font>
      <name val="Calibri"/>
      <family val="2"/>
      <color theme="1"/>
      <sz val="11"/>
      <scheme val="minor"/>
    </font>
    <font>
      <name val="Calibri"/>
      <b val="1"/>
      <color rgb="00FFFFFF"/>
      <sz val="13"/>
    </font>
    <font>
      <name val="Calibri"/>
      <b val="1"/>
      <color rgb="00FFFFFF"/>
      <sz val="11"/>
    </font>
    <font>
      <name val="Calibri"/>
      <color rgb="00000000"/>
      <sz val="11"/>
    </font>
    <font>
      <name val="Calibri"/>
      <i val="1"/>
      <color rgb="00595959"/>
      <sz val="11"/>
    </font>
    <font>
      <name val="Calibri"/>
      <b val="1"/>
      <color rgb="00FFFFFF"/>
      <sz val="18"/>
    </font>
    <font>
      <name val="Calibri"/>
      <b val="1"/>
      <color rgb="00FFFFFF"/>
      <sz val="12"/>
    </font>
    <font>
      <name val="Calibri"/>
      <b val="1"/>
      <color rgb="00000000"/>
      <sz val="11"/>
    </font>
    <font>
      <name val="Calibri"/>
      <b val="1"/>
      <color rgb="009C0006"/>
      <sz val="11"/>
    </font>
    <font>
      <name val="Calibri"/>
      <b val="1"/>
      <color rgb="00006100"/>
      <sz val="11"/>
    </font>
    <font>
      <name val="Calibri"/>
      <color rgb="001F4E78"/>
      <sz val="11"/>
    </font>
    <font>
      <name val="Calibri"/>
      <b val="1"/>
      <color rgb="00000000"/>
      <sz val="12"/>
    </font>
    <font>
      <name val="Calibri"/>
      <b val="1"/>
      <color rgb="00FFFFFF"/>
      <sz val="16"/>
    </font>
  </fonts>
  <fills count="15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44546A"/>
      </patternFill>
    </fill>
    <fill>
      <patternFill patternType="solid">
        <fgColor rgb="00FFF2CC"/>
      </patternFill>
    </fill>
    <fill>
      <patternFill patternType="solid">
        <fgColor rgb="002E4C7E"/>
      </patternFill>
    </fill>
    <fill>
      <patternFill patternType="solid">
        <fgColor rgb="00DDEBF7"/>
      </patternFill>
    </fill>
    <fill>
      <patternFill patternType="solid">
        <fgColor rgb="00BDD7EE"/>
      </patternFill>
    </fill>
    <fill>
      <patternFill patternType="solid">
        <fgColor rgb="009C0006"/>
      </patternFill>
    </fill>
    <fill>
      <patternFill patternType="solid">
        <fgColor rgb="00006100"/>
      </patternFill>
    </fill>
    <fill>
      <patternFill patternType="solid">
        <fgColor rgb="00FFC7CE"/>
      </patternFill>
    </fill>
    <fill>
      <patternFill patternType="solid">
        <fgColor rgb="00C6EFCE"/>
      </patternFill>
    </fill>
    <fill>
      <patternFill patternType="solid">
        <fgColor rgb="00FFFFFF"/>
      </patternFill>
    </fill>
    <fill>
      <patternFill patternType="solid">
        <fgColor rgb="00BFBFBF"/>
      </patternFill>
    </fill>
    <fill>
      <patternFill patternType="solid">
        <fgColor rgb="00D9D9D9"/>
      </patternFill>
    </fill>
  </fills>
  <borders count="6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 style="medium">
        <color rgb="00808080"/>
      </left>
      <right style="medium">
        <color rgb="00808080"/>
      </right>
      <top style="medium">
        <color rgb="00808080"/>
      </top>
      <bottom style="medium">
        <color rgb="00808080"/>
      </bottom>
    </border>
  </borders>
  <cellStyleXfs count="1">
    <xf numFmtId="0" fontId="0" fillId="0" borderId="0"/>
  </cellStyleXfs>
  <cellXfs count="52">
    <xf numFmtId="0" fontId="0" fillId="0" borderId="0" pivotButton="0" quotePrefix="0" xfId="0"/>
    <xf numFmtId="0" fontId="5" fillId="2" borderId="0" applyAlignment="1" pivotButton="0" quotePrefix="0" xfId="0">
      <alignment horizontal="center" vertical="center"/>
    </xf>
    <xf numFmtId="0" fontId="6" fillId="5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/>
    </xf>
    <xf numFmtId="164" fontId="3" fillId="4" borderId="1" applyAlignment="1" pivotButton="0" quotePrefix="0" xfId="0">
      <alignment horizontal="right" vertical="center"/>
    </xf>
    <xf numFmtId="165" fontId="3" fillId="0" borderId="1" applyAlignment="1" pivotButton="0" quotePrefix="0" xfId="0">
      <alignment horizontal="center" vertical="center"/>
    </xf>
    <xf numFmtId="0" fontId="7" fillId="6" borderId="1" applyAlignment="1" pivotButton="0" quotePrefix="0" xfId="0">
      <alignment horizontal="left" vertical="center"/>
    </xf>
    <xf numFmtId="164" fontId="7" fillId="6" borderId="1" applyAlignment="1" pivotButton="0" quotePrefix="0" xfId="0">
      <alignment horizontal="right" vertical="center"/>
    </xf>
    <xf numFmtId="165" fontId="7" fillId="6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left" vertical="center"/>
    </xf>
    <xf numFmtId="0" fontId="0" fillId="0" borderId="4" pivotButton="0" quotePrefix="0" xfId="0"/>
    <xf numFmtId="165" fontId="7" fillId="4" borderId="1" applyAlignment="1" pivotButton="0" quotePrefix="0" xfId="0">
      <alignment horizontal="center" vertical="center"/>
    </xf>
    <xf numFmtId="165" fontId="7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left" vertical="center" wrapText="1"/>
    </xf>
    <xf numFmtId="3" fontId="3" fillId="4" borderId="1" applyAlignment="1" pivotButton="0" quotePrefix="0" xfId="0">
      <alignment horizontal="right" vertical="center"/>
    </xf>
    <xf numFmtId="0" fontId="4" fillId="0" borderId="0" applyAlignment="1" pivotButton="0" quotePrefix="0" xfId="0">
      <alignment horizontal="left" vertical="center" wrapText="1"/>
    </xf>
    <xf numFmtId="0" fontId="2" fillId="3" borderId="1" applyAlignment="1" pivotButton="0" quotePrefix="0" xfId="0">
      <alignment horizontal="center" vertical="center" wrapText="1"/>
    </xf>
    <xf numFmtId="0" fontId="2" fillId="8" borderId="1" applyAlignment="1" pivotButton="0" quotePrefix="0" xfId="0">
      <alignment horizontal="center" vertical="center" wrapText="1"/>
    </xf>
    <xf numFmtId="0" fontId="2" fillId="9" borderId="1" applyAlignment="1" pivotButton="0" quotePrefix="0" xfId="0">
      <alignment horizontal="center" vertical="center" wrapText="1"/>
    </xf>
    <xf numFmtId="164" fontId="7" fillId="4" borderId="5" applyAlignment="1" pivotButton="0" quotePrefix="0" xfId="0">
      <alignment horizontal="right" vertical="center"/>
    </xf>
    <xf numFmtId="164" fontId="7" fillId="7" borderId="5" applyAlignment="1" pivotButton="0" quotePrefix="0" xfId="0">
      <alignment horizontal="right" vertical="center"/>
    </xf>
    <xf numFmtId="164" fontId="8" fillId="10" borderId="5" applyAlignment="1" pivotButton="0" quotePrefix="0" xfId="0">
      <alignment horizontal="right" vertical="center"/>
    </xf>
    <xf numFmtId="164" fontId="9" fillId="11" borderId="5" applyAlignment="1" pivotButton="0" quotePrefix="0" xfId="0">
      <alignment horizontal="right" vertical="center"/>
    </xf>
    <xf numFmtId="0" fontId="6" fillId="3" borderId="0" applyAlignment="1" pivotButton="0" quotePrefix="0" xfId="0">
      <alignment horizontal="left" vertical="center"/>
    </xf>
    <xf numFmtId="0" fontId="2" fillId="5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3" fillId="12" borderId="1" applyAlignment="1" pivotButton="0" quotePrefix="0" xfId="0">
      <alignment horizontal="left" vertical="center"/>
    </xf>
    <xf numFmtId="0" fontId="10" fillId="0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6" borderId="1" applyAlignment="1" pivotButton="0" quotePrefix="0" xfId="0">
      <alignment horizontal="center" vertical="center"/>
    </xf>
    <xf numFmtId="164" fontId="3" fillId="0" borderId="1" applyAlignment="1" pivotButton="0" quotePrefix="0" xfId="0">
      <alignment horizontal="right" vertical="center"/>
    </xf>
    <xf numFmtId="0" fontId="7" fillId="7" borderId="1" applyAlignment="1" pivotButton="0" quotePrefix="0" xfId="0">
      <alignment horizontal="left" vertical="center"/>
    </xf>
    <xf numFmtId="164" fontId="7" fillId="7" borderId="1" applyAlignment="1" pivotButton="0" quotePrefix="0" xfId="0">
      <alignment horizontal="right" vertical="center"/>
    </xf>
    <xf numFmtId="165" fontId="7" fillId="7" borderId="1" applyAlignment="1" pivotButton="0" quotePrefix="0" xfId="0">
      <alignment horizontal="center" vertical="center"/>
    </xf>
    <xf numFmtId="3" fontId="3" fillId="0" borderId="1" applyAlignment="1" pivotButton="0" quotePrefix="0" xfId="0">
      <alignment horizontal="right" vertical="center"/>
    </xf>
    <xf numFmtId="0" fontId="9" fillId="11" borderId="1" applyAlignment="1" pivotButton="0" quotePrefix="0" xfId="0">
      <alignment horizontal="left" vertical="center"/>
    </xf>
    <xf numFmtId="0" fontId="9" fillId="11" borderId="1" applyAlignment="1" pivotButton="0" quotePrefix="0" xfId="0">
      <alignment horizontal="center" vertical="center"/>
    </xf>
    <xf numFmtId="3" fontId="9" fillId="11" borderId="1" applyAlignment="1" pivotButton="0" quotePrefix="0" xfId="0">
      <alignment horizontal="right" vertical="center"/>
    </xf>
    <xf numFmtId="0" fontId="11" fillId="13" borderId="0" applyAlignment="1" pivotButton="0" quotePrefix="0" xfId="0">
      <alignment horizontal="center" vertical="center"/>
    </xf>
    <xf numFmtId="0" fontId="7" fillId="14" borderId="1" applyAlignment="1" pivotButton="0" quotePrefix="0" xfId="0">
      <alignment horizontal="center" vertical="center" wrapText="1"/>
    </xf>
    <xf numFmtId="164" fontId="3" fillId="14" borderId="1" applyAlignment="1" pivotButton="0" quotePrefix="0" xfId="0">
      <alignment horizontal="right" vertical="center"/>
    </xf>
    <xf numFmtId="165" fontId="3" fillId="14" borderId="1" applyAlignment="1" pivotButton="0" quotePrefix="0" xfId="0">
      <alignment horizontal="center" vertical="center"/>
    </xf>
    <xf numFmtId="164" fontId="7" fillId="14" borderId="1" applyAlignment="1" pivotButton="0" quotePrefix="0" xfId="0">
      <alignment horizontal="right" vertical="center"/>
    </xf>
    <xf numFmtId="0" fontId="12" fillId="2" borderId="0" applyAlignment="1" pivotButton="0" quotePrefix="0" xfId="0">
      <alignment horizontal="center" vertical="center"/>
    </xf>
    <xf numFmtId="0" fontId="7" fillId="11" borderId="1" applyAlignment="1" pivotButton="0" quotePrefix="0" xfId="0">
      <alignment horizontal="left" vertical="center"/>
    </xf>
    <xf numFmtId="164" fontId="3" fillId="11" borderId="1" applyAlignment="1" pivotButton="0" quotePrefix="0" xfId="0">
      <alignment horizontal="right" vertical="center"/>
    </xf>
    <xf numFmtId="0" fontId="7" fillId="10" borderId="1" applyAlignment="1" pivotButton="0" quotePrefix="0" xfId="0">
      <alignment horizontal="left" vertical="center"/>
    </xf>
    <xf numFmtId="164" fontId="3" fillId="10" borderId="1" applyAlignment="1" pivotButton="0" quotePrefix="0" xfId="0">
      <alignment horizontal="right" vertical="center"/>
    </xf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4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comments/comment1.xml><?xml version="1.0" encoding="utf-8"?>
<comments xmlns="http://schemas.openxmlformats.org/spreadsheetml/2006/main">
  <authors>
    <author>Finanzas</author>
  </authors>
  <commentList>
    <comment ref="A1" authorId="0" shapeId="0">
      <text>
        <t>Esta hoja hace que el resumen de la AMEX se acomode solo por categoría.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0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16" customWidth="1" min="2" max="2"/>
    <col width="12" customWidth="1" min="3" max="3"/>
    <col width="30" customWidth="1" min="4" max="4"/>
    <col width="18" customWidth="1" min="5" max="5"/>
  </cols>
  <sheetData>
    <row r="1" ht="30" customHeight="1">
      <c r="A1" s="1" t="inlineStr">
        <is>
          <t>FINANZAS · LOLI &amp; TITO</t>
        </is>
      </c>
    </row>
    <row r="3">
      <c r="A3" s="2" t="inlineStr">
        <is>
          <t>INGRESOS NETOS MENSUALES</t>
        </is>
      </c>
    </row>
    <row r="4">
      <c r="A4" s="3" t="inlineStr">
        <is>
          <t>Persona</t>
        </is>
      </c>
      <c r="B4" s="3" t="inlineStr">
        <is>
          <t>Ingreso</t>
        </is>
      </c>
      <c r="C4" s="3" t="inlineStr">
        <is>
          <t>% real</t>
        </is>
      </c>
      <c r="D4" s="3" t="inlineStr">
        <is>
          <t>Proporcional real (referencia)</t>
        </is>
      </c>
    </row>
    <row r="5">
      <c r="A5" s="4" t="inlineStr">
        <is>
          <t>Loli</t>
        </is>
      </c>
      <c r="B5" s="5" t="n">
        <v>2800000</v>
      </c>
      <c r="C5" s="6">
        <f>B5/$B$7</f>
        <v/>
      </c>
      <c r="D5" s="4" t="n"/>
    </row>
    <row r="6">
      <c r="A6" s="4" t="inlineStr">
        <is>
          <t>Tito</t>
        </is>
      </c>
      <c r="B6" s="5" t="n">
        <v>4000000</v>
      </c>
      <c r="C6" s="6">
        <f>B6/$B$7</f>
        <v/>
      </c>
      <c r="D6" s="4" t="n"/>
    </row>
    <row r="7">
      <c r="A7" s="7" t="inlineStr">
        <is>
          <t>Total</t>
        </is>
      </c>
      <c r="B7" s="8">
        <f>B5+B6</f>
        <v/>
      </c>
      <c r="C7" s="9">
        <f>B7/$B$7</f>
        <v/>
      </c>
      <c r="D7" s="10" t="n"/>
    </row>
    <row r="9">
      <c r="A9" s="2" t="inlineStr">
        <is>
          <t>SPLIT EN USO (editable)</t>
        </is>
      </c>
    </row>
    <row r="10">
      <c r="A10" s="3" t="inlineStr">
        <is>
          <t>Concepto</t>
        </is>
      </c>
      <c r="B10" s="3" t="inlineStr">
        <is>
          <t>% Loli</t>
        </is>
      </c>
      <c r="C10" s="3" t="inlineStr">
        <is>
          <t>% Tito</t>
        </is>
      </c>
      <c r="D10" s="3" t="inlineStr">
        <is>
          <t>Notas</t>
        </is>
      </c>
      <c r="E10" s="11" t="n"/>
    </row>
    <row r="11" ht="28" customHeight="1">
      <c r="A11" s="4" t="inlineStr">
        <is>
          <t>Split actual</t>
        </is>
      </c>
      <c r="B11" s="12" t="n">
        <v>0.4</v>
      </c>
      <c r="C11" s="13">
        <f>1-B11</f>
        <v/>
      </c>
      <c r="D11" s="14" t="inlineStr">
        <is>
          <t>Cambiá solo la celda amarilla (% Loli). Tito se ajusta solo.</t>
        </is>
      </c>
    </row>
    <row r="13">
      <c r="A13" s="2" t="inlineStr">
        <is>
          <t>MONTOS FIJOS DE REFERENCIA</t>
        </is>
      </c>
    </row>
    <row r="14">
      <c r="A14" s="3" t="inlineStr">
        <is>
          <t>Concepto</t>
        </is>
      </c>
      <c r="B14" s="3" t="inlineStr">
        <is>
          <t>Núñez</t>
        </is>
      </c>
      <c r="C14" s="3" t="inlineStr">
        <is>
          <t>Pilar</t>
        </is>
      </c>
    </row>
    <row r="15">
      <c r="A15" s="4" t="inlineStr">
        <is>
          <t>Expensas</t>
        </is>
      </c>
      <c r="B15" s="15" t="n">
        <v>415277</v>
      </c>
      <c r="C15" s="15" t="n">
        <v>336690</v>
      </c>
    </row>
    <row r="16">
      <c r="A16" s="4" t="inlineStr">
        <is>
          <t>Luz (EDENOR)</t>
        </is>
      </c>
      <c r="B16" s="15" t="n">
        <v>52392</v>
      </c>
      <c r="C16" s="15" t="n"/>
    </row>
    <row r="17">
      <c r="A17" s="4" t="inlineStr">
        <is>
          <t>Gas</t>
        </is>
      </c>
      <c r="B17" s="15" t="n"/>
      <c r="C17" s="15" t="n"/>
    </row>
    <row r="18">
      <c r="A18" s="4" t="inlineStr">
        <is>
          <t>Agua</t>
        </is>
      </c>
      <c r="B18" s="15" t="n"/>
      <c r="C18" s="15" t="n"/>
    </row>
    <row r="19">
      <c r="A19" s="4" t="inlineStr">
        <is>
          <t>Wifi (Telecentro)</t>
        </is>
      </c>
      <c r="B19" s="15" t="n">
        <v>38940</v>
      </c>
      <c r="C19" s="15" t="n"/>
    </row>
    <row r="20">
      <c r="A20" s="4" t="inlineStr">
        <is>
          <t>Limpieza</t>
        </is>
      </c>
      <c r="B20" s="15" t="n">
        <v>198000</v>
      </c>
      <c r="C20" s="15" t="n">
        <v>63000</v>
      </c>
    </row>
    <row r="21">
      <c r="A21" s="4" t="inlineStr">
        <is>
          <t>Paseadora Antonio</t>
        </is>
      </c>
      <c r="B21" s="15" t="n">
        <v>98000</v>
      </c>
      <c r="C21" s="15" t="n"/>
    </row>
    <row r="22">
      <c r="A22" s="4" t="inlineStr">
        <is>
          <t>Netflix / Streaming</t>
        </is>
      </c>
      <c r="B22" s="15" t="n">
        <v>22648</v>
      </c>
      <c r="C22" s="15" t="n"/>
    </row>
    <row r="23">
      <c r="A23" s="4" t="inlineStr">
        <is>
          <t>Pilates</t>
        </is>
      </c>
      <c r="B23" s="15" t="n"/>
      <c r="C23" s="15" t="n"/>
    </row>
    <row r="24">
      <c r="A24" s="4" t="inlineStr">
        <is>
          <t>ABL / ARBA</t>
        </is>
      </c>
      <c r="B24" s="15" t="n"/>
      <c r="C24" s="15" t="n"/>
    </row>
    <row r="25">
      <c r="A25" s="4" t="inlineStr">
        <is>
          <t>Seguro hogar</t>
        </is>
      </c>
      <c r="B25" s="15" t="n"/>
      <c r="C25" s="15" t="n"/>
    </row>
    <row r="27">
      <c r="A27" s="16" t="inlineStr">
        <is>
          <t>Todas las celdas amarillas son editables. Si pisás una fórmula perdés el cálculo automático de esa celda, pero el archivo no se rompe.</t>
        </is>
      </c>
    </row>
    <row r="28"/>
  </sheetData>
  <mergeCells count="11">
    <mergeCell ref="A27:E28"/>
    <mergeCell ref="D6:E6"/>
    <mergeCell ref="D7:E7"/>
    <mergeCell ref="D10:E10"/>
    <mergeCell ref="D11:E11"/>
    <mergeCell ref="D5:E5"/>
    <mergeCell ref="A1:E1"/>
    <mergeCell ref="D4:E4"/>
    <mergeCell ref="A13:E13"/>
    <mergeCell ref="A9:E9"/>
    <mergeCell ref="A3:E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87"/>
  <sheetViews>
    <sheetView showGridLines="0" workbookViewId="0">
      <selection activeCell="A1" sqref="A1"/>
    </sheetView>
  </sheetViews>
  <sheetFormatPr baseColWidth="8" defaultRowHeight="15"/>
  <cols>
    <col width="30" customWidth="1" min="1" max="1"/>
    <col width="14" customWidth="1" min="2" max="2"/>
    <col width="12" customWidth="1" min="3" max="3"/>
    <col width="14" customWidth="1" min="4" max="4"/>
    <col width="16" customWidth="1" min="5" max="5"/>
    <col width="14" customWidth="1" min="6" max="6"/>
    <col width="14" customWidth="1" min="7" max="7"/>
  </cols>
  <sheetData>
    <row r="1" ht="30" customHeight="1">
      <c r="A1" s="1" t="inlineStr">
        <is>
          <t>JUNIO 2026</t>
        </is>
      </c>
    </row>
    <row r="3">
      <c r="A3" s="2" t="inlineStr">
        <is>
          <t>CONTROL DEL MES</t>
        </is>
      </c>
    </row>
    <row r="4" ht="26" customHeight="1">
      <c r="A4" s="17" t="inlineStr">
        <is>
          <t>Aporte Loli</t>
        </is>
      </c>
      <c r="B4" s="17" t="inlineStr">
        <is>
          <t>Aporte Tito</t>
        </is>
      </c>
      <c r="C4" s="17" t="inlineStr">
        <is>
          <t>Sobró del mes anterior</t>
        </is>
      </c>
      <c r="D4" s="17">
        <f> Total disponible</f>
        <v/>
      </c>
      <c r="E4" s="17" t="inlineStr">
        <is>
          <t>Total gastado</t>
        </is>
      </c>
      <c r="F4" s="18" t="inlineStr">
        <is>
          <t>FALTÓ</t>
        </is>
      </c>
      <c r="G4" s="19" t="inlineStr">
        <is>
          <t>SOBRÓ (pasa →)</t>
        </is>
      </c>
    </row>
    <row r="5">
      <c r="A5" s="20" t="n">
        <v>1000000</v>
      </c>
      <c r="B5" s="20" t="n">
        <v>1500000</v>
      </c>
      <c r="C5" s="20" t="n">
        <v>0</v>
      </c>
      <c r="D5" s="21">
        <f>A5+B5+C5</f>
        <v/>
      </c>
      <c r="E5" s="21">
        <f>B25+D59</f>
        <v/>
      </c>
      <c r="F5" s="22">
        <f>MAX(0,E5-D5)</f>
        <v/>
      </c>
      <c r="G5" s="23">
        <f>MAX(0,D5-E5)</f>
        <v/>
      </c>
    </row>
    <row r="6"/>
    <row r="8">
      <c r="A8" s="24" t="inlineStr">
        <is>
          <t>GASTOS FIJOS   ·   monto y medio de pago</t>
        </is>
      </c>
    </row>
    <row r="9">
      <c r="A9" s="25" t="inlineStr">
        <is>
          <t>Concepto</t>
        </is>
      </c>
      <c r="B9" s="25" t="inlineStr">
        <is>
          <t>Monto</t>
        </is>
      </c>
      <c r="C9" s="25" t="inlineStr">
        <is>
          <t>Medio de pago</t>
        </is>
      </c>
    </row>
    <row r="10">
      <c r="A10" s="4" t="inlineStr">
        <is>
          <t>Expensas Núñez</t>
        </is>
      </c>
      <c r="B10" s="15" t="n"/>
      <c r="C10" s="26" t="inlineStr">
        <is>
          <t>AMEX Loli</t>
        </is>
      </c>
    </row>
    <row r="11">
      <c r="A11" s="4" t="inlineStr">
        <is>
          <t>Expensas Pilar</t>
        </is>
      </c>
      <c r="B11" s="15" t="n">
        <v>398000</v>
      </c>
      <c r="C11" s="26" t="inlineStr">
        <is>
          <t>AMEX Loli</t>
        </is>
      </c>
    </row>
    <row r="12">
      <c r="A12" s="4" t="inlineStr">
        <is>
          <t>Luz Núñez</t>
        </is>
      </c>
      <c r="B12" s="15" t="n">
        <v>52392</v>
      </c>
      <c r="C12" s="26" t="inlineStr">
        <is>
          <t>AMEX Loli</t>
        </is>
      </c>
    </row>
    <row r="13">
      <c r="A13" s="4" t="inlineStr">
        <is>
          <t>Luz Pilar</t>
        </is>
      </c>
      <c r="B13" s="15" t="n"/>
      <c r="C13" s="26" t="inlineStr">
        <is>
          <t>AMEX Loli</t>
        </is>
      </c>
    </row>
    <row r="14">
      <c r="A14" s="4" t="inlineStr">
        <is>
          <t>Wifi Núñez</t>
        </is>
      </c>
      <c r="B14" s="15" t="n">
        <v>38940</v>
      </c>
      <c r="C14" s="26" t="inlineStr">
        <is>
          <t>AMEX Loli</t>
        </is>
      </c>
    </row>
    <row r="15">
      <c r="A15" s="4" t="inlineStr">
        <is>
          <t>Wifi Pilar</t>
        </is>
      </c>
      <c r="B15" s="15" t="n"/>
      <c r="C15" s="26" t="inlineStr">
        <is>
          <t>AMEX Loli</t>
        </is>
      </c>
    </row>
    <row r="16">
      <c r="A16" s="4" t="inlineStr">
        <is>
          <t>Paseadora Antonio</t>
        </is>
      </c>
      <c r="B16" s="15" t="n"/>
      <c r="C16" s="26" t="inlineStr">
        <is>
          <t>Transferencia</t>
        </is>
      </c>
    </row>
    <row r="17">
      <c r="A17" s="4" t="inlineStr">
        <is>
          <t>Limpieza Núñez</t>
        </is>
      </c>
      <c r="B17" s="15" t="n"/>
      <c r="C17" s="26" t="inlineStr">
        <is>
          <t>Transferencia</t>
        </is>
      </c>
    </row>
    <row r="18">
      <c r="A18" s="4" t="inlineStr">
        <is>
          <t>Limpieza Pilar</t>
        </is>
      </c>
      <c r="B18" s="15" t="n"/>
      <c r="C18" s="26" t="inlineStr">
        <is>
          <t>Transferencia</t>
        </is>
      </c>
    </row>
    <row r="19">
      <c r="A19" s="4" t="inlineStr">
        <is>
          <t>Netflix</t>
        </is>
      </c>
      <c r="B19" s="15" t="n">
        <v>22648</v>
      </c>
      <c r="C19" s="26" t="inlineStr">
        <is>
          <t>AMEX Loli</t>
        </is>
      </c>
    </row>
    <row r="20">
      <c r="A20" s="4" t="inlineStr">
        <is>
          <t>Pilates</t>
        </is>
      </c>
      <c r="B20" s="15" t="n"/>
      <c r="C20" s="26" t="inlineStr">
        <is>
          <t>Transferencia</t>
        </is>
      </c>
    </row>
    <row r="21">
      <c r="A21" s="27" t="n"/>
      <c r="B21" s="15" t="n"/>
      <c r="C21" s="26" t="n"/>
    </row>
    <row r="22">
      <c r="A22" s="27" t="n"/>
      <c r="B22" s="15" t="n"/>
      <c r="C22" s="26" t="n"/>
    </row>
    <row r="23">
      <c r="A23" s="27" t="n"/>
      <c r="B23" s="15" t="n"/>
      <c r="C23" s="26" t="n"/>
    </row>
    <row r="24">
      <c r="A24" s="27" t="n"/>
      <c r="B24" s="15" t="n"/>
      <c r="C24" s="26" t="n"/>
    </row>
    <row r="25">
      <c r="A25" s="7" t="inlineStr">
        <is>
          <t>Subtotal fijos</t>
        </is>
      </c>
      <c r="B25" s="8">
        <f>SUM(B10:B24)</f>
        <v/>
      </c>
      <c r="C25" s="10" t="n"/>
    </row>
    <row r="27">
      <c r="A27" s="24" t="inlineStr">
        <is>
          <t>GASTOS AMEX / TARJETA   ·   por categoría (se acomoda solo)</t>
        </is>
      </c>
    </row>
    <row r="28">
      <c r="A28" s="25" t="inlineStr">
        <is>
          <t>Detalle / Comercio</t>
        </is>
      </c>
      <c r="B28" s="25" t="inlineStr">
        <is>
          <t>Categoría (auto)</t>
        </is>
      </c>
      <c r="C28" s="25" t="inlineStr">
        <is>
          <t>Casa</t>
        </is>
      </c>
      <c r="D28" s="25" t="inlineStr">
        <is>
          <t>Monto</t>
        </is>
      </c>
      <c r="E28" s="25" t="inlineStr">
        <is>
          <t>Medio de pago</t>
        </is>
      </c>
    </row>
    <row r="29">
      <c r="A29" s="4" t="inlineStr">
        <is>
          <t>Hamburguesería Colegiales</t>
        </is>
      </c>
      <c r="B29" s="28">
        <f>IF($A29="","",IFERROR(LOOKUP(2,1/((ISNUMBER(SEARCH(CONFIG!$A$3:$A$94,$A29)))*(CONFIG!$A$3:$A$94&lt;&gt;"")),CONFIG!$B$3:$B$94),"Otros"))</f>
        <v/>
      </c>
      <c r="C29" s="26" t="inlineStr">
        <is>
          <t>Ambos</t>
        </is>
      </c>
      <c r="D29" s="15" t="n">
        <v>47000</v>
      </c>
      <c r="E29" s="26" t="inlineStr">
        <is>
          <t>AMEX Loli</t>
        </is>
      </c>
    </row>
    <row r="30">
      <c r="A30" s="4" t="n"/>
      <c r="B30" s="28">
        <f>IF($A30="","",IFERROR(LOOKUP(2,1/((ISNUMBER(SEARCH(CONFIG!$A$3:$A$94,$A30)))*(CONFIG!$A$3:$A$94&lt;&gt;"")),CONFIG!$B$3:$B$94),"Otros"))</f>
        <v/>
      </c>
      <c r="C30" s="26" t="n"/>
      <c r="D30" s="15" t="n"/>
      <c r="E30" s="26" t="n"/>
    </row>
    <row r="31">
      <c r="A31" s="4" t="n"/>
      <c r="B31" s="28">
        <f>IF($A31="","",IFERROR(LOOKUP(2,1/((ISNUMBER(SEARCH(CONFIG!$A$3:$A$94,$A31)))*(CONFIG!$A$3:$A$94&lt;&gt;"")),CONFIG!$B$3:$B$94),"Otros"))</f>
        <v/>
      </c>
      <c r="C31" s="26" t="n"/>
      <c r="D31" s="15" t="n"/>
      <c r="E31" s="26" t="n"/>
    </row>
    <row r="32">
      <c r="A32" s="4" t="n"/>
      <c r="B32" s="28">
        <f>IF($A32="","",IFERROR(LOOKUP(2,1/((ISNUMBER(SEARCH(CONFIG!$A$3:$A$94,$A32)))*(CONFIG!$A$3:$A$94&lt;&gt;"")),CONFIG!$B$3:$B$94),"Otros"))</f>
        <v/>
      </c>
      <c r="C32" s="26" t="n"/>
      <c r="D32" s="15" t="n"/>
      <c r="E32" s="26" t="n"/>
    </row>
    <row r="33">
      <c r="A33" s="4" t="n"/>
      <c r="B33" s="28">
        <f>IF($A33="","",IFERROR(LOOKUP(2,1/((ISNUMBER(SEARCH(CONFIG!$A$3:$A$94,$A33)))*(CONFIG!$A$3:$A$94&lt;&gt;"")),CONFIG!$B$3:$B$94),"Otros"))</f>
        <v/>
      </c>
      <c r="C33" s="26" t="n"/>
      <c r="D33" s="15" t="n"/>
      <c r="E33" s="26" t="n"/>
    </row>
    <row r="34">
      <c r="A34" s="4" t="n"/>
      <c r="B34" s="28">
        <f>IF($A34="","",IFERROR(LOOKUP(2,1/((ISNUMBER(SEARCH(CONFIG!$A$3:$A$94,$A34)))*(CONFIG!$A$3:$A$94&lt;&gt;"")),CONFIG!$B$3:$B$94),"Otros"))</f>
        <v/>
      </c>
      <c r="C34" s="26" t="n"/>
      <c r="D34" s="15" t="n"/>
      <c r="E34" s="26" t="n"/>
    </row>
    <row r="35">
      <c r="A35" s="4" t="n"/>
      <c r="B35" s="28">
        <f>IF($A35="","",IFERROR(LOOKUP(2,1/((ISNUMBER(SEARCH(CONFIG!$A$3:$A$94,$A35)))*(CONFIG!$A$3:$A$94&lt;&gt;"")),CONFIG!$B$3:$B$94),"Otros"))</f>
        <v/>
      </c>
      <c r="C35" s="26" t="n"/>
      <c r="D35" s="15" t="n"/>
      <c r="E35" s="26" t="n"/>
    </row>
    <row r="36">
      <c r="A36" s="4" t="n"/>
      <c r="B36" s="28">
        <f>IF($A36="","",IFERROR(LOOKUP(2,1/((ISNUMBER(SEARCH(CONFIG!$A$3:$A$94,$A36)))*(CONFIG!$A$3:$A$94&lt;&gt;"")),CONFIG!$B$3:$B$94),"Otros"))</f>
        <v/>
      </c>
      <c r="C36" s="26" t="n"/>
      <c r="D36" s="15" t="n"/>
      <c r="E36" s="26" t="n"/>
    </row>
    <row r="37">
      <c r="A37" s="4" t="n"/>
      <c r="B37" s="28">
        <f>IF($A37="","",IFERROR(LOOKUP(2,1/((ISNUMBER(SEARCH(CONFIG!$A$3:$A$94,$A37)))*(CONFIG!$A$3:$A$94&lt;&gt;"")),CONFIG!$B$3:$B$94),"Otros"))</f>
        <v/>
      </c>
      <c r="C37" s="26" t="n"/>
      <c r="D37" s="15" t="n"/>
      <c r="E37" s="26" t="n"/>
    </row>
    <row r="38">
      <c r="A38" s="4" t="n"/>
      <c r="B38" s="28">
        <f>IF($A38="","",IFERROR(LOOKUP(2,1/((ISNUMBER(SEARCH(CONFIG!$A$3:$A$94,$A38)))*(CONFIG!$A$3:$A$94&lt;&gt;"")),CONFIG!$B$3:$B$94),"Otros"))</f>
        <v/>
      </c>
      <c r="C38" s="26" t="n"/>
      <c r="D38" s="15" t="n"/>
      <c r="E38" s="26" t="n"/>
    </row>
    <row r="39">
      <c r="A39" s="4" t="n"/>
      <c r="B39" s="28">
        <f>IF($A39="","",IFERROR(LOOKUP(2,1/((ISNUMBER(SEARCH(CONFIG!$A$3:$A$94,$A39)))*(CONFIG!$A$3:$A$94&lt;&gt;"")),CONFIG!$B$3:$B$94),"Otros"))</f>
        <v/>
      </c>
      <c r="C39" s="26" t="n"/>
      <c r="D39" s="15" t="n"/>
      <c r="E39" s="26" t="n"/>
    </row>
    <row r="40">
      <c r="A40" s="4" t="n"/>
      <c r="B40" s="28">
        <f>IF($A40="","",IFERROR(LOOKUP(2,1/((ISNUMBER(SEARCH(CONFIG!$A$3:$A$94,$A40)))*(CONFIG!$A$3:$A$94&lt;&gt;"")),CONFIG!$B$3:$B$94),"Otros"))</f>
        <v/>
      </c>
      <c r="C40" s="26" t="n"/>
      <c r="D40" s="15" t="n"/>
      <c r="E40" s="26" t="n"/>
    </row>
    <row r="41">
      <c r="A41" s="4" t="n"/>
      <c r="B41" s="28">
        <f>IF($A41="","",IFERROR(LOOKUP(2,1/((ISNUMBER(SEARCH(CONFIG!$A$3:$A$94,$A41)))*(CONFIG!$A$3:$A$94&lt;&gt;"")),CONFIG!$B$3:$B$94),"Otros"))</f>
        <v/>
      </c>
      <c r="C41" s="26" t="n"/>
      <c r="D41" s="15" t="n"/>
      <c r="E41" s="26" t="n"/>
    </row>
    <row r="42">
      <c r="A42" s="4" t="n"/>
      <c r="B42" s="28">
        <f>IF($A42="","",IFERROR(LOOKUP(2,1/((ISNUMBER(SEARCH(CONFIG!$A$3:$A$94,$A42)))*(CONFIG!$A$3:$A$94&lt;&gt;"")),CONFIG!$B$3:$B$94),"Otros"))</f>
        <v/>
      </c>
      <c r="C42" s="26" t="n"/>
      <c r="D42" s="15" t="n"/>
      <c r="E42" s="26" t="n"/>
    </row>
    <row r="43">
      <c r="A43" s="4" t="n"/>
      <c r="B43" s="28">
        <f>IF($A43="","",IFERROR(LOOKUP(2,1/((ISNUMBER(SEARCH(CONFIG!$A$3:$A$94,$A43)))*(CONFIG!$A$3:$A$94&lt;&gt;"")),CONFIG!$B$3:$B$94),"Otros"))</f>
        <v/>
      </c>
      <c r="C43" s="26" t="n"/>
      <c r="D43" s="15" t="n"/>
      <c r="E43" s="26" t="n"/>
    </row>
    <row r="44">
      <c r="A44" s="4" t="n"/>
      <c r="B44" s="28">
        <f>IF($A44="","",IFERROR(LOOKUP(2,1/((ISNUMBER(SEARCH(CONFIG!$A$3:$A$94,$A44)))*(CONFIG!$A$3:$A$94&lt;&gt;"")),CONFIG!$B$3:$B$94),"Otros"))</f>
        <v/>
      </c>
      <c r="C44" s="26" t="n"/>
      <c r="D44" s="15" t="n"/>
      <c r="E44" s="26" t="n"/>
    </row>
    <row r="45">
      <c r="A45" s="4" t="n"/>
      <c r="B45" s="28">
        <f>IF($A45="","",IFERROR(LOOKUP(2,1/((ISNUMBER(SEARCH(CONFIG!$A$3:$A$94,$A45)))*(CONFIG!$A$3:$A$94&lt;&gt;"")),CONFIG!$B$3:$B$94),"Otros"))</f>
        <v/>
      </c>
      <c r="C45" s="26" t="n"/>
      <c r="D45" s="15" t="n"/>
      <c r="E45" s="26" t="n"/>
    </row>
    <row r="46">
      <c r="A46" s="4" t="n"/>
      <c r="B46" s="28">
        <f>IF($A46="","",IFERROR(LOOKUP(2,1/((ISNUMBER(SEARCH(CONFIG!$A$3:$A$94,$A46)))*(CONFIG!$A$3:$A$94&lt;&gt;"")),CONFIG!$B$3:$B$94),"Otros"))</f>
        <v/>
      </c>
      <c r="C46" s="26" t="n"/>
      <c r="D46" s="15" t="n"/>
      <c r="E46" s="26" t="n"/>
    </row>
    <row r="47">
      <c r="A47" s="4" t="n"/>
      <c r="B47" s="28">
        <f>IF($A47="","",IFERROR(LOOKUP(2,1/((ISNUMBER(SEARCH(CONFIG!$A$3:$A$94,$A47)))*(CONFIG!$A$3:$A$94&lt;&gt;"")),CONFIG!$B$3:$B$94),"Otros"))</f>
        <v/>
      </c>
      <c r="C47" s="26" t="n"/>
      <c r="D47" s="15" t="n"/>
      <c r="E47" s="26" t="n"/>
    </row>
    <row r="48">
      <c r="A48" s="4" t="n"/>
      <c r="B48" s="28">
        <f>IF($A48="","",IFERROR(LOOKUP(2,1/((ISNUMBER(SEARCH(CONFIG!$A$3:$A$94,$A48)))*(CONFIG!$A$3:$A$94&lt;&gt;"")),CONFIG!$B$3:$B$94),"Otros"))</f>
        <v/>
      </c>
      <c r="C48" s="26" t="n"/>
      <c r="D48" s="15" t="n"/>
      <c r="E48" s="26" t="n"/>
    </row>
    <row r="49">
      <c r="A49" s="4" t="n"/>
      <c r="B49" s="28">
        <f>IF($A49="","",IFERROR(LOOKUP(2,1/((ISNUMBER(SEARCH(CONFIG!$A$3:$A$94,$A49)))*(CONFIG!$A$3:$A$94&lt;&gt;"")),CONFIG!$B$3:$B$94),"Otros"))</f>
        <v/>
      </c>
      <c r="C49" s="26" t="n"/>
      <c r="D49" s="15" t="n"/>
      <c r="E49" s="26" t="n"/>
    </row>
    <row r="50">
      <c r="A50" s="4" t="n"/>
      <c r="B50" s="28">
        <f>IF($A50="","",IFERROR(LOOKUP(2,1/((ISNUMBER(SEARCH(CONFIG!$A$3:$A$94,$A50)))*(CONFIG!$A$3:$A$94&lt;&gt;"")),CONFIG!$B$3:$B$94),"Otros"))</f>
        <v/>
      </c>
      <c r="C50" s="26" t="n"/>
      <c r="D50" s="15" t="n"/>
      <c r="E50" s="26" t="n"/>
    </row>
    <row r="51">
      <c r="A51" s="4" t="n"/>
      <c r="B51" s="28">
        <f>IF($A51="","",IFERROR(LOOKUP(2,1/((ISNUMBER(SEARCH(CONFIG!$A$3:$A$94,$A51)))*(CONFIG!$A$3:$A$94&lt;&gt;"")),CONFIG!$B$3:$B$94),"Otros"))</f>
        <v/>
      </c>
      <c r="C51" s="26" t="n"/>
      <c r="D51" s="15" t="n"/>
      <c r="E51" s="26" t="n"/>
    </row>
    <row r="52">
      <c r="A52" s="4" t="n"/>
      <c r="B52" s="28">
        <f>IF($A52="","",IFERROR(LOOKUP(2,1/((ISNUMBER(SEARCH(CONFIG!$A$3:$A$94,$A52)))*(CONFIG!$A$3:$A$94&lt;&gt;"")),CONFIG!$B$3:$B$94),"Otros"))</f>
        <v/>
      </c>
      <c r="C52" s="26" t="n"/>
      <c r="D52" s="15" t="n"/>
      <c r="E52" s="26" t="n"/>
    </row>
    <row r="53">
      <c r="A53" s="4" t="n"/>
      <c r="B53" s="28">
        <f>IF($A53="","",IFERROR(LOOKUP(2,1/((ISNUMBER(SEARCH(CONFIG!$A$3:$A$94,$A53)))*(CONFIG!$A$3:$A$94&lt;&gt;"")),CONFIG!$B$3:$B$94),"Otros"))</f>
        <v/>
      </c>
      <c r="C53" s="26" t="n"/>
      <c r="D53" s="15" t="n"/>
      <c r="E53" s="26" t="n"/>
    </row>
    <row r="54">
      <c r="A54" s="4" t="n"/>
      <c r="B54" s="28">
        <f>IF($A54="","",IFERROR(LOOKUP(2,1/((ISNUMBER(SEARCH(CONFIG!$A$3:$A$94,$A54)))*(CONFIG!$A$3:$A$94&lt;&gt;"")),CONFIG!$B$3:$B$94),"Otros"))</f>
        <v/>
      </c>
      <c r="C54" s="26" t="n"/>
      <c r="D54" s="15" t="n"/>
      <c r="E54" s="26" t="n"/>
    </row>
    <row r="55">
      <c r="A55" s="4" t="n"/>
      <c r="B55" s="28">
        <f>IF($A55="","",IFERROR(LOOKUP(2,1/((ISNUMBER(SEARCH(CONFIG!$A$3:$A$94,$A55)))*(CONFIG!$A$3:$A$94&lt;&gt;"")),CONFIG!$B$3:$B$94),"Otros"))</f>
        <v/>
      </c>
      <c r="C55" s="26" t="n"/>
      <c r="D55" s="15" t="n"/>
      <c r="E55" s="26" t="n"/>
    </row>
    <row r="56">
      <c r="A56" s="4" t="n"/>
      <c r="B56" s="28">
        <f>IF($A56="","",IFERROR(LOOKUP(2,1/((ISNUMBER(SEARCH(CONFIG!$A$3:$A$94,$A56)))*(CONFIG!$A$3:$A$94&lt;&gt;"")),CONFIG!$B$3:$B$94),"Otros"))</f>
        <v/>
      </c>
      <c r="C56" s="26" t="n"/>
      <c r="D56" s="15" t="n"/>
      <c r="E56" s="26" t="n"/>
    </row>
    <row r="57">
      <c r="A57" s="4" t="n"/>
      <c r="B57" s="28">
        <f>IF($A57="","",IFERROR(LOOKUP(2,1/((ISNUMBER(SEARCH(CONFIG!$A$3:$A$94,$A57)))*(CONFIG!$A$3:$A$94&lt;&gt;"")),CONFIG!$B$3:$B$94),"Otros"))</f>
        <v/>
      </c>
      <c r="C57" s="26" t="n"/>
      <c r="D57" s="15" t="n"/>
      <c r="E57" s="26" t="n"/>
    </row>
    <row r="58">
      <c r="A58" s="4" t="n"/>
      <c r="B58" s="28">
        <f>IF($A58="","",IFERROR(LOOKUP(2,1/((ISNUMBER(SEARCH(CONFIG!$A$3:$A$94,$A58)))*(CONFIG!$A$3:$A$94&lt;&gt;"")),CONFIG!$B$3:$B$94),"Otros"))</f>
        <v/>
      </c>
      <c r="C58" s="26" t="n"/>
      <c r="D58" s="15" t="n"/>
      <c r="E58" s="26" t="n"/>
    </row>
    <row r="59">
      <c r="A59" s="7" t="inlineStr">
        <is>
          <t>Subtotal AMEX / tarjeta</t>
        </is>
      </c>
      <c r="B59" s="10" t="n"/>
      <c r="C59" s="10" t="n"/>
      <c r="D59" s="8">
        <f>SUM(D29:D58)</f>
        <v/>
      </c>
      <c r="E59" s="10" t="n"/>
    </row>
    <row r="60" ht="28" customHeight="1">
      <c r="A60" s="16" t="inlineStr">
        <is>
          <t>➤ Pegá acá el resumen de la AMEX (Detalle + Monto). La categoría se completa sola según el mapa de la hoja CONFIG. No hace falta crear otro archivo.</t>
        </is>
      </c>
    </row>
    <row r="62">
      <c r="A62" s="29" t="inlineStr">
        <is>
          <t>RESUMEN · EN QUÉ SE GASTÓ MÁS</t>
        </is>
      </c>
    </row>
    <row r="63">
      <c r="A63" s="7" t="inlineStr">
        <is>
          <t>Por sección</t>
        </is>
      </c>
      <c r="B63" s="7" t="inlineStr">
        <is>
          <t>Monto</t>
        </is>
      </c>
      <c r="C63" s="30" t="inlineStr">
        <is>
          <t>% del total</t>
        </is>
      </c>
    </row>
    <row r="64">
      <c r="A64" s="4" t="inlineStr">
        <is>
          <t>Gastos fijos</t>
        </is>
      </c>
      <c r="B64" s="31">
        <f>$B$25</f>
        <v/>
      </c>
      <c r="C64" s="6">
        <f>IF(($B$25+$D$59)=0,0,($B$25)/($B$25+$D$59))</f>
        <v/>
      </c>
    </row>
    <row r="65">
      <c r="A65" s="4" t="inlineStr">
        <is>
          <t>Gastos AMEX / tarjeta</t>
        </is>
      </c>
      <c r="B65" s="31">
        <f>$D$59</f>
        <v/>
      </c>
      <c r="C65" s="6">
        <f>IF(($B$25+$D$59)=0,0,($D$59)/($B$25+$D$59))</f>
        <v/>
      </c>
    </row>
    <row r="66">
      <c r="A66" s="32" t="inlineStr">
        <is>
          <t>TOTAL</t>
        </is>
      </c>
      <c r="B66" s="33">
        <f>$B$25+$D$59</f>
        <v/>
      </c>
      <c r="C66" s="34">
        <f>IF(($B$25+$D$59)=0,0,1)</f>
        <v/>
      </c>
    </row>
    <row r="68">
      <c r="A68" s="7" t="inlineStr">
        <is>
          <t>Por categoría (AMEX / tarjeta)</t>
        </is>
      </c>
      <c r="B68" s="30" t="inlineStr">
        <is>
          <t>Monto</t>
        </is>
      </c>
      <c r="C68" s="30" t="inlineStr">
        <is>
          <t>% AMEX</t>
        </is>
      </c>
    </row>
    <row r="69">
      <c r="A69" s="4" t="inlineStr">
        <is>
          <t>Supermercado</t>
        </is>
      </c>
      <c r="B69" s="35">
        <f>SUMIF($B$29:$B$58,A69,$D$29:$D$58)</f>
        <v/>
      </c>
      <c r="C69" s="6">
        <f>IF($D$59=0,0,B69/$D$59)</f>
        <v/>
      </c>
    </row>
    <row r="70">
      <c r="A70" s="4" t="inlineStr">
        <is>
          <t>Verdulería</t>
        </is>
      </c>
      <c r="B70" s="35">
        <f>SUMIF($B$29:$B$58,A70,$D$29:$D$58)</f>
        <v/>
      </c>
      <c r="C70" s="6">
        <f>IF($D$59=0,0,B70/$D$59)</f>
        <v/>
      </c>
    </row>
    <row r="71">
      <c r="A71" s="4" t="inlineStr">
        <is>
          <t>Delivery</t>
        </is>
      </c>
      <c r="B71" s="35">
        <f>SUMIF($B$29:$B$58,A71,$D$29:$D$58)</f>
        <v/>
      </c>
      <c r="C71" s="6">
        <f>IF($D$59=0,0,B71/$D$59)</f>
        <v/>
      </c>
    </row>
    <row r="72">
      <c r="A72" s="4" t="inlineStr">
        <is>
          <t>Cafecito</t>
        </is>
      </c>
      <c r="B72" s="35">
        <f>SUMIF($B$29:$B$58,A72,$D$29:$D$58)</f>
        <v/>
      </c>
      <c r="C72" s="6">
        <f>IF($D$59=0,0,B72/$D$59)</f>
        <v/>
      </c>
    </row>
    <row r="73">
      <c r="A73" s="4" t="inlineStr">
        <is>
          <t>Restaurant</t>
        </is>
      </c>
      <c r="B73" s="35">
        <f>SUMIF($B$29:$B$58,A73,$D$29:$D$58)</f>
        <v/>
      </c>
      <c r="C73" s="6">
        <f>IF($D$59=0,0,B73/$D$59)</f>
        <v/>
      </c>
    </row>
    <row r="74">
      <c r="A74" s="4" t="inlineStr">
        <is>
          <t>Salida</t>
        </is>
      </c>
      <c r="B74" s="35">
        <f>SUMIF($B$29:$B$58,A74,$D$29:$D$58)</f>
        <v/>
      </c>
      <c r="C74" s="6">
        <f>IF($D$59=0,0,B74/$D$59)</f>
        <v/>
      </c>
    </row>
    <row r="75">
      <c r="A75" s="4" t="inlineStr">
        <is>
          <t>Nafta</t>
        </is>
      </c>
      <c r="B75" s="35">
        <f>SUMIF($B$29:$B$58,A75,$D$29:$D$58)</f>
        <v/>
      </c>
      <c r="C75" s="6">
        <f>IF($D$59=0,0,B75/$D$59)</f>
        <v/>
      </c>
    </row>
    <row r="76">
      <c r="A76" s="4" t="inlineStr">
        <is>
          <t>Transporte</t>
        </is>
      </c>
      <c r="B76" s="35">
        <f>SUMIF($B$29:$B$58,A76,$D$29:$D$58)</f>
        <v/>
      </c>
      <c r="C76" s="6">
        <f>IF($D$59=0,0,B76/$D$59)</f>
        <v/>
      </c>
    </row>
    <row r="77">
      <c r="A77" s="4" t="inlineStr">
        <is>
          <t>Veterinaria</t>
        </is>
      </c>
      <c r="B77" s="35">
        <f>SUMIF($B$29:$B$58,A77,$D$29:$D$58)</f>
        <v/>
      </c>
      <c r="C77" s="6">
        <f>IF($D$59=0,0,B77/$D$59)</f>
        <v/>
      </c>
    </row>
    <row r="78">
      <c r="A78" s="4" t="inlineStr">
        <is>
          <t>Farmacia</t>
        </is>
      </c>
      <c r="B78" s="35">
        <f>SUMIF($B$29:$B$58,A78,$D$29:$D$58)</f>
        <v/>
      </c>
      <c r="C78" s="6">
        <f>IF($D$59=0,0,B78/$D$59)</f>
        <v/>
      </c>
    </row>
    <row r="79">
      <c r="A79" s="4" t="inlineStr">
        <is>
          <t>Viaje</t>
        </is>
      </c>
      <c r="B79" s="35">
        <f>SUMIF($B$29:$B$58,A79,$D$29:$D$58)</f>
        <v/>
      </c>
      <c r="C79" s="6">
        <f>IF($D$59=0,0,B79/$D$59)</f>
        <v/>
      </c>
    </row>
    <row r="80">
      <c r="A80" s="4" t="inlineStr">
        <is>
          <t>Trámites</t>
        </is>
      </c>
      <c r="B80" s="35">
        <f>SUMIF($B$29:$B$58,A80,$D$29:$D$58)</f>
        <v/>
      </c>
      <c r="C80" s="6">
        <f>IF($D$59=0,0,B80/$D$59)</f>
        <v/>
      </c>
    </row>
    <row r="81">
      <c r="A81" s="4" t="inlineStr">
        <is>
          <t>Otros</t>
        </is>
      </c>
      <c r="B81" s="35">
        <f>SUMIF($B$29:$B$58,A81,$D$29:$D$58)</f>
        <v/>
      </c>
      <c r="C81" s="6">
        <f>IF($D$59=0,0,B81/$D$59)</f>
        <v/>
      </c>
    </row>
    <row r="82">
      <c r="A82" s="36" t="inlineStr">
        <is>
          <t>Top categoría</t>
        </is>
      </c>
      <c r="B82" s="37">
        <f>IFERROR(INDEX(A69:A81,MATCH(MAX(B69:B81),B69:B81,0)),"-")</f>
        <v/>
      </c>
      <c r="C82" s="38">
        <f>MAX(B69:B81)</f>
        <v/>
      </c>
    </row>
    <row r="84">
      <c r="A84" s="39" t="inlineStr">
        <is>
          <t>SUGERIDO PARA EL MES SIGUIENTE  ·  según lo gastado este mes</t>
        </is>
      </c>
    </row>
    <row r="85">
      <c r="A85" s="40" t="inlineStr">
        <is>
          <t>Base (gasto del mes)</t>
        </is>
      </c>
      <c r="B85" s="40" t="inlineStr">
        <is>
          <t>% Loli</t>
        </is>
      </c>
      <c r="C85" s="40" t="inlineStr">
        <is>
          <t>% Tito</t>
        </is>
      </c>
      <c r="D85" s="40" t="inlineStr">
        <is>
          <t>Sugerido Loli</t>
        </is>
      </c>
      <c r="E85" s="40" t="inlineStr">
        <is>
          <t>Sugerido Tito</t>
        </is>
      </c>
    </row>
    <row r="86">
      <c r="A86" s="41">
        <f>$B$25+$D$59</f>
        <v/>
      </c>
      <c r="B86" s="42">
        <f>PCT_LOLI</f>
        <v/>
      </c>
      <c r="C86" s="42">
        <f>PCT_TITO</f>
        <v/>
      </c>
      <c r="D86" s="43">
        <f>A86*B86</f>
        <v/>
      </c>
      <c r="E86" s="43">
        <f>A86*C86</f>
        <v/>
      </c>
    </row>
    <row r="87" ht="26" customHeight="1">
      <c r="A87" s="16" t="inlineStr">
        <is>
          <t>Idea: para no quedar cortos, cada uno aporta aprox. lo que le tocó este mes según el split 40/60. Si querés margen, subí un 10-15%.</t>
        </is>
      </c>
    </row>
  </sheetData>
  <mergeCells count="8">
    <mergeCell ref="A84:G84"/>
    <mergeCell ref="A1:G1"/>
    <mergeCell ref="A27:G27"/>
    <mergeCell ref="A8:G8"/>
    <mergeCell ref="A3:G3"/>
    <mergeCell ref="A87:G87"/>
    <mergeCell ref="A62:G62"/>
    <mergeCell ref="A60:G60"/>
  </mergeCells>
  <dataValidations count="2">
    <dataValidation sqref="C10:C24 E29:E58" showDropDown="0" showInputMessage="0" showErrorMessage="0" allowBlank="1" type="list">
      <formula1>"AMEX Loli,AMEX Tito,Transferencia,Efectivo"</formula1>
    </dataValidation>
    <dataValidation sqref="C29:C58" showDropDown="0" showInputMessage="0" showErrorMessage="0" allowBlank="1" type="list">
      <formula1>"Núñez,Pilar,Ambos"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93"/>
  <sheetViews>
    <sheetView showGridLines="0" workbookViewId="0">
      <selection activeCell="A1" sqref="A1"/>
    </sheetView>
  </sheetViews>
  <sheetFormatPr baseColWidth="8" defaultRowHeight="15"/>
  <cols>
    <col width="30" customWidth="1" min="1" max="1"/>
    <col width="14" customWidth="1" min="2" max="2"/>
    <col width="12" customWidth="1" min="3" max="3"/>
    <col width="14" customWidth="1" min="4" max="4"/>
    <col width="16" customWidth="1" min="5" max="5"/>
    <col width="14" customWidth="1" min="6" max="6"/>
    <col width="14" customWidth="1" min="7" max="7"/>
  </cols>
  <sheetData>
    <row r="1" ht="30" customHeight="1">
      <c r="A1" s="1" t="inlineStr">
        <is>
          <t>JULIO 2026</t>
        </is>
      </c>
    </row>
    <row r="3">
      <c r="A3" s="2" t="inlineStr">
        <is>
          <t>CONTROL DEL MES</t>
        </is>
      </c>
    </row>
    <row r="4" ht="26" customHeight="1">
      <c r="A4" s="17" t="inlineStr">
        <is>
          <t>Aporte Loli</t>
        </is>
      </c>
      <c r="B4" s="17" t="inlineStr">
        <is>
          <t>Aporte Tito</t>
        </is>
      </c>
      <c r="C4" s="17" t="inlineStr">
        <is>
          <t>Sobró del mes anterior</t>
        </is>
      </c>
      <c r="D4" s="17">
        <f> Total disponible</f>
        <v/>
      </c>
      <c r="E4" s="17" t="inlineStr">
        <is>
          <t>Total gastado</t>
        </is>
      </c>
      <c r="F4" s="18" t="inlineStr">
        <is>
          <t>FALTÓ</t>
        </is>
      </c>
      <c r="G4" s="19" t="inlineStr">
        <is>
          <t>SOBRÓ (pasa →)</t>
        </is>
      </c>
    </row>
    <row r="5">
      <c r="A5" s="20" t="n">
        <v>1000000</v>
      </c>
      <c r="B5" s="20" t="n">
        <v>2000000</v>
      </c>
      <c r="C5" s="20">
        <f>'JUNIO'!$G$5</f>
        <v/>
      </c>
      <c r="D5" s="21">
        <f>A5+B5+C5</f>
        <v/>
      </c>
      <c r="E5" s="21">
        <f>B25+D65</f>
        <v/>
      </c>
      <c r="F5" s="22">
        <f>MAX(0,E5-D5)</f>
        <v/>
      </c>
      <c r="G5" s="23">
        <f>MAX(0,D5-E5)</f>
        <v/>
      </c>
    </row>
    <row r="6"/>
    <row r="8">
      <c r="A8" s="24" t="inlineStr">
        <is>
          <t>GASTOS FIJOS   ·   monto y medio de pago</t>
        </is>
      </c>
    </row>
    <row r="9">
      <c r="A9" s="25" t="inlineStr">
        <is>
          <t>Concepto</t>
        </is>
      </c>
      <c r="B9" s="25" t="inlineStr">
        <is>
          <t>Monto</t>
        </is>
      </c>
      <c r="C9" s="25" t="inlineStr">
        <is>
          <t>Medio de pago</t>
        </is>
      </c>
    </row>
    <row r="10">
      <c r="A10" s="4" t="inlineStr">
        <is>
          <t>Expensas Núñez</t>
        </is>
      </c>
      <c r="B10" s="15" t="n">
        <v>415000</v>
      </c>
      <c r="C10" s="26" t="inlineStr">
        <is>
          <t>AMEX Loli</t>
        </is>
      </c>
    </row>
    <row r="11">
      <c r="A11" s="4" t="inlineStr">
        <is>
          <t>Expensas Pilar</t>
        </is>
      </c>
      <c r="B11" s="15" t="n">
        <v>398000</v>
      </c>
      <c r="C11" s="26" t="inlineStr">
        <is>
          <t>AMEX Loli</t>
        </is>
      </c>
    </row>
    <row r="12">
      <c r="A12" s="4" t="inlineStr">
        <is>
          <t>Luz Núñez</t>
        </is>
      </c>
      <c r="B12" s="15" t="n">
        <v>21318</v>
      </c>
      <c r="C12" s="26" t="inlineStr">
        <is>
          <t>AMEX Loli</t>
        </is>
      </c>
    </row>
    <row r="13">
      <c r="A13" s="4" t="inlineStr">
        <is>
          <t>Luz Pilar</t>
        </is>
      </c>
      <c r="B13" s="15" t="n">
        <v>24579</v>
      </c>
      <c r="C13" s="26" t="inlineStr">
        <is>
          <t>AMEX Loli</t>
        </is>
      </c>
    </row>
    <row r="14">
      <c r="A14" s="4" t="inlineStr">
        <is>
          <t>Wifi Núñez</t>
        </is>
      </c>
      <c r="B14" s="15" t="n">
        <v>44898</v>
      </c>
      <c r="C14" s="26" t="inlineStr">
        <is>
          <t>AMEX Loli</t>
        </is>
      </c>
    </row>
    <row r="15">
      <c r="A15" s="4" t="inlineStr">
        <is>
          <t>Wifi Pilar</t>
        </is>
      </c>
      <c r="B15" s="15" t="n">
        <v>45238</v>
      </c>
      <c r="C15" s="26" t="inlineStr">
        <is>
          <t>AMEX Loli</t>
        </is>
      </c>
    </row>
    <row r="16">
      <c r="A16" s="4" t="inlineStr">
        <is>
          <t>Paseadora Antonio</t>
        </is>
      </c>
      <c r="B16" s="15" t="n">
        <v>98000</v>
      </c>
      <c r="C16" s="26" t="inlineStr">
        <is>
          <t>Transferencia</t>
        </is>
      </c>
    </row>
    <row r="17">
      <c r="A17" s="4" t="inlineStr">
        <is>
          <t>Limpieza Núñez</t>
        </is>
      </c>
      <c r="B17" s="15" t="n">
        <v>198000</v>
      </c>
      <c r="C17" s="26" t="inlineStr">
        <is>
          <t>Transferencia</t>
        </is>
      </c>
    </row>
    <row r="18">
      <c r="A18" s="4" t="inlineStr">
        <is>
          <t>Limpieza Pilar</t>
        </is>
      </c>
      <c r="B18" s="15" t="n">
        <v>63000</v>
      </c>
      <c r="C18" s="26" t="inlineStr">
        <is>
          <t>Transferencia</t>
        </is>
      </c>
    </row>
    <row r="19">
      <c r="A19" s="4" t="inlineStr">
        <is>
          <t>Netflix</t>
        </is>
      </c>
      <c r="B19" s="15" t="n">
        <v>22648</v>
      </c>
      <c r="C19" s="26" t="inlineStr">
        <is>
          <t>AMEX Loli</t>
        </is>
      </c>
    </row>
    <row r="20">
      <c r="A20" s="4" t="inlineStr">
        <is>
          <t>Pilates</t>
        </is>
      </c>
      <c r="B20" s="15" t="n"/>
      <c r="C20" s="26" t="inlineStr">
        <is>
          <t>Transferencia</t>
        </is>
      </c>
    </row>
    <row r="21">
      <c r="A21" s="27" t="n"/>
      <c r="B21" s="15" t="n"/>
      <c r="C21" s="26" t="n"/>
    </row>
    <row r="22">
      <c r="A22" s="27" t="n"/>
      <c r="B22" s="15" t="n"/>
      <c r="C22" s="26" t="n"/>
    </row>
    <row r="23">
      <c r="A23" s="27" t="n"/>
      <c r="B23" s="15" t="n"/>
      <c r="C23" s="26" t="n"/>
    </row>
    <row r="24">
      <c r="A24" s="27" t="n"/>
      <c r="B24" s="15" t="n"/>
      <c r="C24" s="26" t="n"/>
    </row>
    <row r="25">
      <c r="A25" s="7" t="inlineStr">
        <is>
          <t>Subtotal fijos</t>
        </is>
      </c>
      <c r="B25" s="8">
        <f>SUM(B10:B24)</f>
        <v/>
      </c>
      <c r="C25" s="10" t="n"/>
    </row>
    <row r="27">
      <c r="A27" s="24" t="inlineStr">
        <is>
          <t>GASTOS AMEX / TARJETA   ·   por categoría (se acomoda solo)</t>
        </is>
      </c>
    </row>
    <row r="28">
      <c r="A28" s="25" t="inlineStr">
        <is>
          <t>Detalle / Comercio</t>
        </is>
      </c>
      <c r="B28" s="25" t="inlineStr">
        <is>
          <t>Categoría (auto)</t>
        </is>
      </c>
      <c r="C28" s="25" t="inlineStr">
        <is>
          <t>Casa</t>
        </is>
      </c>
      <c r="D28" s="25" t="inlineStr">
        <is>
          <t>Monto</t>
        </is>
      </c>
      <c r="E28" s="25" t="inlineStr">
        <is>
          <t>Medio de pago</t>
        </is>
      </c>
    </row>
    <row r="29">
      <c r="A29" s="4" t="inlineStr">
        <is>
          <t>Merpago Delfin</t>
        </is>
      </c>
      <c r="B29" s="28">
        <f>IF($A29="","",IFERROR(LOOKUP(2,1/((ISNUMBER(SEARCH(CONFIG!$A$3:$A$94,$A29)))*(CONFIG!$A$3:$A$94&lt;&gt;"")),CONFIG!$B$3:$B$94),"Otros"))</f>
        <v/>
      </c>
      <c r="C29" s="26" t="inlineStr">
        <is>
          <t>Núñez</t>
        </is>
      </c>
      <c r="D29" s="15" t="n">
        <v>23500</v>
      </c>
      <c r="E29" s="26" t="inlineStr">
        <is>
          <t>AMEX Loli</t>
        </is>
      </c>
    </row>
    <row r="30">
      <c r="A30" s="4" t="inlineStr">
        <is>
          <t>Groovypets</t>
        </is>
      </c>
      <c r="B30" s="28">
        <f>IF($A30="","",IFERROR(LOOKUP(2,1/((ISNUMBER(SEARCH(CONFIG!$A$3:$A$94,$A30)))*(CONFIG!$A$3:$A$94&lt;&gt;"")),CONFIG!$B$3:$B$94),"Otros"))</f>
        <v/>
      </c>
      <c r="C30" s="26" t="inlineStr">
        <is>
          <t>Ambos</t>
        </is>
      </c>
      <c r="D30" s="15" t="n">
        <v>50900</v>
      </c>
      <c r="E30" s="26" t="inlineStr">
        <is>
          <t>AMEX Loli</t>
        </is>
      </c>
    </row>
    <row r="31">
      <c r="A31" s="4" t="inlineStr">
        <is>
          <t>Merpago-h2soap</t>
        </is>
      </c>
      <c r="B31" s="28">
        <f>IF($A31="","",IFERROR(LOOKUP(2,1/((ISNUMBER(SEARCH(CONFIG!$A$3:$A$94,$A31)))*(CONFIG!$A$3:$A$94&lt;&gt;"")),CONFIG!$B$3:$B$94),"Otros"))</f>
        <v/>
      </c>
      <c r="C31" s="26" t="inlineStr">
        <is>
          <t>Ambos</t>
        </is>
      </c>
      <c r="D31" s="15" t="n">
        <v>14944</v>
      </c>
      <c r="E31" s="26" t="inlineStr">
        <is>
          <t>AMEX Loli</t>
        </is>
      </c>
    </row>
    <row r="32">
      <c r="A32" s="4" t="inlineStr">
        <is>
          <t>Groovypets</t>
        </is>
      </c>
      <c r="B32" s="28">
        <f>IF($A32="","",IFERROR(LOOKUP(2,1/((ISNUMBER(SEARCH(CONFIG!$A$3:$A$94,$A32)))*(CONFIG!$A$3:$A$94&lt;&gt;"")),CONFIG!$B$3:$B$94),"Otros"))</f>
        <v/>
      </c>
      <c r="C32" s="26" t="inlineStr">
        <is>
          <t>Ambos</t>
        </is>
      </c>
      <c r="D32" s="15" t="n">
        <v>44500</v>
      </c>
      <c r="E32" s="26" t="inlineStr">
        <is>
          <t>AMEX Loli</t>
        </is>
      </c>
    </row>
    <row r="33">
      <c r="A33" s="4" t="inlineStr">
        <is>
          <t>Rappi</t>
        </is>
      </c>
      <c r="B33" s="28">
        <f>IF($A33="","",IFERROR(LOOKUP(2,1/((ISNUMBER(SEARCH(CONFIG!$A$3:$A$94,$A33)))*(CONFIG!$A$3:$A$94&lt;&gt;"")),CONFIG!$B$3:$B$94),"Otros"))</f>
        <v/>
      </c>
      <c r="C33" s="26" t="inlineStr">
        <is>
          <t>Núñez</t>
        </is>
      </c>
      <c r="D33" s="15" t="n">
        <v>50897</v>
      </c>
      <c r="E33" s="26" t="inlineStr">
        <is>
          <t>AMEX Loli</t>
        </is>
      </c>
    </row>
    <row r="34">
      <c r="A34" s="4" t="inlineStr">
        <is>
          <t>Super Manzanares</t>
        </is>
      </c>
      <c r="B34" s="28">
        <f>IF($A34="","",IFERROR(LOOKUP(2,1/((ISNUMBER(SEARCH(CONFIG!$A$3:$A$94,$A34)))*(CONFIG!$A$3:$A$94&lt;&gt;"")),CONFIG!$B$3:$B$94),"Otros"))</f>
        <v/>
      </c>
      <c r="C34" s="26" t="inlineStr">
        <is>
          <t>Núñez</t>
        </is>
      </c>
      <c r="D34" s="15" t="n">
        <v>25000</v>
      </c>
      <c r="E34" s="26" t="inlineStr">
        <is>
          <t>AMEX Loli</t>
        </is>
      </c>
    </row>
    <row r="35">
      <c r="A35" s="4" t="inlineStr">
        <is>
          <t>Pedidos Ya market</t>
        </is>
      </c>
      <c r="B35" s="28">
        <f>IF($A35="","",IFERROR(LOOKUP(2,1/((ISNUMBER(SEARCH(CONFIG!$A$3:$A$94,$A35)))*(CONFIG!$A$3:$A$94&lt;&gt;"")),CONFIG!$B$3:$B$94),"Otros"))</f>
        <v/>
      </c>
      <c r="C35" s="26" t="inlineStr">
        <is>
          <t>Núñez</t>
        </is>
      </c>
      <c r="D35" s="15" t="n">
        <v>34800</v>
      </c>
      <c r="E35" s="26" t="inlineStr">
        <is>
          <t>AMEX Loli</t>
        </is>
      </c>
    </row>
    <row r="36">
      <c r="A36" s="4" t="inlineStr">
        <is>
          <t>Rappi Super</t>
        </is>
      </c>
      <c r="B36" s="28">
        <f>IF($A36="","",IFERROR(LOOKUP(2,1/((ISNUMBER(SEARCH(CONFIG!$A$3:$A$94,$A36)))*(CONFIG!$A$3:$A$94&lt;&gt;"")),CONFIG!$B$3:$B$94),"Otros"))</f>
        <v/>
      </c>
      <c r="C36" s="26" t="inlineStr">
        <is>
          <t>Núñez</t>
        </is>
      </c>
      <c r="D36" s="15" t="n">
        <v>156500</v>
      </c>
      <c r="E36" s="26" t="inlineStr">
        <is>
          <t>AMEX Loli</t>
        </is>
      </c>
    </row>
    <row r="37">
      <c r="A37" s="4" t="inlineStr">
        <is>
          <t>La Noire Café + Razo-Razo</t>
        </is>
      </c>
      <c r="B37" s="28">
        <f>IF($A37="","",IFERROR(LOOKUP(2,1/((ISNUMBER(SEARCH(CONFIG!$A$3:$A$94,$A37)))*(CONFIG!$A$3:$A$94&lt;&gt;"")),CONFIG!$B$3:$B$94),"Otros"))</f>
        <v/>
      </c>
      <c r="C37" s="26" t="inlineStr">
        <is>
          <t>Ambos</t>
        </is>
      </c>
      <c r="D37" s="15" t="n">
        <v>48900</v>
      </c>
      <c r="E37" s="26" t="inlineStr">
        <is>
          <t>AMEX Loli</t>
        </is>
      </c>
    </row>
    <row r="38">
      <c r="A38" s="4" t="inlineStr">
        <is>
          <t>Merpago Delfin + Super Paroissien</t>
        </is>
      </c>
      <c r="B38" s="28">
        <f>IF($A38="","",IFERROR(LOOKUP(2,1/((ISNUMBER(SEARCH(CONFIG!$A$3:$A$94,$A38)))*(CONFIG!$A$3:$A$94&lt;&gt;"")),CONFIG!$B$3:$B$94),"Otros"))</f>
        <v/>
      </c>
      <c r="C38" s="26" t="inlineStr">
        <is>
          <t>Núñez</t>
        </is>
      </c>
      <c r="D38" s="15" t="n">
        <v>92000</v>
      </c>
      <c r="E38" s="26" t="inlineStr">
        <is>
          <t>AMEX Loli</t>
        </is>
      </c>
    </row>
    <row r="39">
      <c r="A39" s="4" t="inlineStr">
        <is>
          <t>Solileb</t>
        </is>
      </c>
      <c r="B39" s="28">
        <f>IF($A39="","",IFERROR(LOOKUP(2,1/((ISNUMBER(SEARCH(CONFIG!$A$3:$A$94,$A39)))*(CONFIG!$A$3:$A$94&lt;&gt;"")),CONFIG!$B$3:$B$94),"Otros"))</f>
        <v/>
      </c>
      <c r="C39" s="26" t="inlineStr">
        <is>
          <t>Ambos</t>
        </is>
      </c>
      <c r="D39" s="15" t="n">
        <v>74000</v>
      </c>
      <c r="E39" s="26" t="inlineStr">
        <is>
          <t>AMEX Loli</t>
        </is>
      </c>
    </row>
    <row r="40">
      <c r="A40" s="4" t="inlineStr">
        <is>
          <t>Rappi</t>
        </is>
      </c>
      <c r="B40" s="28">
        <f>IF($A40="","",IFERROR(LOOKUP(2,1/((ISNUMBER(SEARCH(CONFIG!$A$3:$A$94,$A40)))*(CONFIG!$A$3:$A$94&lt;&gt;"")),CONFIG!$B$3:$B$94),"Otros"))</f>
        <v/>
      </c>
      <c r="C40" s="26" t="inlineStr">
        <is>
          <t>Ambos</t>
        </is>
      </c>
      <c r="D40" s="15" t="n">
        <v>22162</v>
      </c>
      <c r="E40" s="26" t="inlineStr">
        <is>
          <t>AMEX Loli</t>
        </is>
      </c>
    </row>
    <row r="41">
      <c r="A41" s="4" t="inlineStr">
        <is>
          <t>JETSMART</t>
        </is>
      </c>
      <c r="B41" s="28">
        <f>IF($A41="","",IFERROR(LOOKUP(2,1/((ISNUMBER(SEARCH(CONFIG!$A$3:$A$94,$A41)))*(CONFIG!$A$3:$A$94&lt;&gt;"")),CONFIG!$B$3:$B$94),"Otros"))</f>
        <v/>
      </c>
      <c r="C41" s="26" t="inlineStr">
        <is>
          <t>Ambos</t>
        </is>
      </c>
      <c r="D41" s="15" t="n">
        <v>743000</v>
      </c>
      <c r="E41" s="26" t="inlineStr">
        <is>
          <t>AMEX Loli</t>
        </is>
      </c>
    </row>
    <row r="42">
      <c r="A42" s="4" t="inlineStr">
        <is>
          <t>Rappi</t>
        </is>
      </c>
      <c r="B42" s="28">
        <f>IF($A42="","",IFERROR(LOOKUP(2,1/((ISNUMBER(SEARCH(CONFIG!$A$3:$A$94,$A42)))*(CONFIG!$A$3:$A$94&lt;&gt;"")),CONFIG!$B$3:$B$94),"Otros"))</f>
        <v/>
      </c>
      <c r="C42" s="26" t="inlineStr">
        <is>
          <t>Ambos</t>
        </is>
      </c>
      <c r="D42" s="15" t="n">
        <v>17192</v>
      </c>
      <c r="E42" s="26" t="inlineStr">
        <is>
          <t>AMEX Loli</t>
        </is>
      </c>
    </row>
    <row r="43">
      <c r="A43" s="4" t="inlineStr">
        <is>
          <t>Rappi</t>
        </is>
      </c>
      <c r="B43" s="28">
        <f>IF($A43="","",IFERROR(LOOKUP(2,1/((ISNUMBER(SEARCH(CONFIG!$A$3:$A$94,$A43)))*(CONFIG!$A$3:$A$94&lt;&gt;"")),CONFIG!$B$3:$B$94),"Otros"))</f>
        <v/>
      </c>
      <c r="C43" s="26" t="inlineStr">
        <is>
          <t>Ambos</t>
        </is>
      </c>
      <c r="D43" s="15" t="n">
        <v>37492</v>
      </c>
      <c r="E43" s="26" t="inlineStr">
        <is>
          <t>AMEX Loli</t>
        </is>
      </c>
    </row>
    <row r="44">
      <c r="A44" s="4" t="inlineStr">
        <is>
          <t>Parmegiano</t>
        </is>
      </c>
      <c r="B44" s="28">
        <f>IF($A44="","",IFERROR(LOOKUP(2,1/((ISNUMBER(SEARCH(CONFIG!$A$3:$A$94,$A44)))*(CONFIG!$A$3:$A$94&lt;&gt;"")),CONFIG!$B$3:$B$94),"Otros"))</f>
        <v/>
      </c>
      <c r="C44" s="26" t="inlineStr">
        <is>
          <t>Ambos</t>
        </is>
      </c>
      <c r="D44" s="15" t="n">
        <v>46458</v>
      </c>
      <c r="E44" s="26" t="inlineStr">
        <is>
          <t>AMEX Loli</t>
        </is>
      </c>
    </row>
    <row r="45">
      <c r="A45" s="4" t="inlineStr">
        <is>
          <t>Santicheese</t>
        </is>
      </c>
      <c r="B45" s="28">
        <f>IF($A45="","",IFERROR(LOOKUP(2,1/((ISNUMBER(SEARCH(CONFIG!$A$3:$A$94,$A45)))*(CONFIG!$A$3:$A$94&lt;&gt;"")),CONFIG!$B$3:$B$94),"Otros"))</f>
        <v/>
      </c>
      <c r="C45" s="26" t="inlineStr">
        <is>
          <t>Ambos</t>
        </is>
      </c>
      <c r="D45" s="15" t="n">
        <v>109800</v>
      </c>
      <c r="E45" s="26" t="inlineStr">
        <is>
          <t>AMEX Loli</t>
        </is>
      </c>
    </row>
    <row r="46">
      <c r="A46" s="4" t="inlineStr">
        <is>
          <t>dlorappi</t>
        </is>
      </c>
      <c r="B46" s="28">
        <f>IF($A46="","",IFERROR(LOOKUP(2,1/((ISNUMBER(SEARCH(CONFIG!$A$3:$A$94,$A46)))*(CONFIG!$A$3:$A$94&lt;&gt;"")),CONFIG!$B$3:$B$94),"Otros"))</f>
        <v/>
      </c>
      <c r="C46" s="26" t="inlineStr">
        <is>
          <t>Ambos</t>
        </is>
      </c>
      <c r="D46" s="15" t="n">
        <v>6490</v>
      </c>
      <c r="E46" s="26" t="inlineStr">
        <is>
          <t>AMEX Loli</t>
        </is>
      </c>
    </row>
    <row r="47">
      <c r="A47" s="4" t="inlineStr">
        <is>
          <t>Merpago-Delfin</t>
        </is>
      </c>
      <c r="B47" s="28">
        <f>IF($A47="","",IFERROR(LOOKUP(2,1/((ISNUMBER(SEARCH(CONFIG!$A$3:$A$94,$A47)))*(CONFIG!$A$3:$A$94&lt;&gt;"")),CONFIG!$B$3:$B$94),"Otros"))</f>
        <v/>
      </c>
      <c r="C47" s="26" t="inlineStr">
        <is>
          <t>Ambos</t>
        </is>
      </c>
      <c r="D47" s="15" t="n">
        <v>30246</v>
      </c>
      <c r="E47" s="26" t="inlineStr">
        <is>
          <t>AMEX Loli</t>
        </is>
      </c>
    </row>
    <row r="48">
      <c r="A48" s="4" t="inlineStr">
        <is>
          <t>Vacalin</t>
        </is>
      </c>
      <c r="B48" s="28">
        <f>IF($A48="","",IFERROR(LOOKUP(2,1/((ISNUMBER(SEARCH(CONFIG!$A$3:$A$94,$A48)))*(CONFIG!$A$3:$A$94&lt;&gt;"")),CONFIG!$B$3:$B$94),"Otros"))</f>
        <v/>
      </c>
      <c r="C48" s="26" t="inlineStr">
        <is>
          <t>Ambos</t>
        </is>
      </c>
      <c r="D48" s="15" t="n">
        <v>33100</v>
      </c>
      <c r="E48" s="26" t="inlineStr">
        <is>
          <t>AMEX Loli</t>
        </is>
      </c>
    </row>
    <row r="49">
      <c r="A49" s="4" t="inlineStr">
        <is>
          <t>Rappi</t>
        </is>
      </c>
      <c r="B49" s="28">
        <f>IF($A49="","",IFERROR(LOOKUP(2,1/((ISNUMBER(SEARCH(CONFIG!$A$3:$A$94,$A49)))*(CONFIG!$A$3:$A$94&lt;&gt;"")),CONFIG!$B$3:$B$94),"Otros"))</f>
        <v/>
      </c>
      <c r="C49" s="26" t="inlineStr">
        <is>
          <t>Ambos</t>
        </is>
      </c>
      <c r="D49" s="15" t="n">
        <v>32554</v>
      </c>
      <c r="E49" s="26" t="inlineStr">
        <is>
          <t>AMEX Loli</t>
        </is>
      </c>
    </row>
    <row r="50">
      <c r="A50" s="4" t="inlineStr">
        <is>
          <t>Rappi</t>
        </is>
      </c>
      <c r="B50" s="28">
        <f>IF($A50="","",IFERROR(LOOKUP(2,1/((ISNUMBER(SEARCH(CONFIG!$A$3:$A$94,$A50)))*(CONFIG!$A$3:$A$94&lt;&gt;"")),CONFIG!$B$3:$B$94),"Otros"))</f>
        <v/>
      </c>
      <c r="C50" s="26" t="inlineStr">
        <is>
          <t>Ambos</t>
        </is>
      </c>
      <c r="D50" s="15" t="n">
        <v>64450</v>
      </c>
      <c r="E50" s="26" t="inlineStr">
        <is>
          <t>AMEX Loli</t>
        </is>
      </c>
    </row>
    <row r="51">
      <c r="A51" s="4" t="inlineStr">
        <is>
          <t>Demente</t>
        </is>
      </c>
      <c r="B51" s="28">
        <f>IF($A51="","",IFERROR(LOOKUP(2,1/((ISNUMBER(SEARCH(CONFIG!$A$3:$A$94,$A51)))*(CONFIG!$A$3:$A$94&lt;&gt;"")),CONFIG!$B$3:$B$94),"Otros"))</f>
        <v/>
      </c>
      <c r="C51" s="26" t="inlineStr">
        <is>
          <t>Ambos</t>
        </is>
      </c>
      <c r="D51" s="15" t="n">
        <v>14000</v>
      </c>
      <c r="E51" s="26" t="inlineStr">
        <is>
          <t>AMEX Loli</t>
        </is>
      </c>
    </row>
    <row r="52">
      <c r="A52" s="4" t="inlineStr">
        <is>
          <t>Evelia</t>
        </is>
      </c>
      <c r="B52" s="28">
        <f>IF($A52="","",IFERROR(LOOKUP(2,1/((ISNUMBER(SEARCH(CONFIG!$A$3:$A$94,$A52)))*(CONFIG!$A$3:$A$94&lt;&gt;"")),CONFIG!$B$3:$B$94),"Otros"))</f>
        <v/>
      </c>
      <c r="C52" s="26" t="inlineStr">
        <is>
          <t>Ambos</t>
        </is>
      </c>
      <c r="D52" s="15" t="n">
        <v>160400</v>
      </c>
      <c r="E52" s="26" t="inlineStr">
        <is>
          <t>AMEX Loli</t>
        </is>
      </c>
    </row>
    <row r="53">
      <c r="A53" s="4" t="n"/>
      <c r="B53" s="28">
        <f>IF($A53="","",IFERROR(LOOKUP(2,1/((ISNUMBER(SEARCH(CONFIG!$A$3:$A$94,$A53)))*(CONFIG!$A$3:$A$94&lt;&gt;"")),CONFIG!$B$3:$B$94),"Otros"))</f>
        <v/>
      </c>
      <c r="C53" s="26" t="n"/>
      <c r="D53" s="15" t="n"/>
      <c r="E53" s="26" t="n"/>
    </row>
    <row r="54">
      <c r="A54" s="4" t="n"/>
      <c r="B54" s="28">
        <f>IF($A54="","",IFERROR(LOOKUP(2,1/((ISNUMBER(SEARCH(CONFIG!$A$3:$A$94,$A54)))*(CONFIG!$A$3:$A$94&lt;&gt;"")),CONFIG!$B$3:$B$94),"Otros"))</f>
        <v/>
      </c>
      <c r="C54" s="26" t="n"/>
      <c r="D54" s="15" t="n"/>
      <c r="E54" s="26" t="n"/>
    </row>
    <row r="55">
      <c r="A55" s="4" t="n"/>
      <c r="B55" s="28">
        <f>IF($A55="","",IFERROR(LOOKUP(2,1/((ISNUMBER(SEARCH(CONFIG!$A$3:$A$94,$A55)))*(CONFIG!$A$3:$A$94&lt;&gt;"")),CONFIG!$B$3:$B$94),"Otros"))</f>
        <v/>
      </c>
      <c r="C55" s="26" t="n"/>
      <c r="D55" s="15" t="n"/>
      <c r="E55" s="26" t="n"/>
    </row>
    <row r="56">
      <c r="A56" s="4" t="n"/>
      <c r="B56" s="28">
        <f>IF($A56="","",IFERROR(LOOKUP(2,1/((ISNUMBER(SEARCH(CONFIG!$A$3:$A$94,$A56)))*(CONFIG!$A$3:$A$94&lt;&gt;"")),CONFIG!$B$3:$B$94),"Otros"))</f>
        <v/>
      </c>
      <c r="C56" s="26" t="n"/>
      <c r="D56" s="15" t="n"/>
      <c r="E56" s="26" t="n"/>
    </row>
    <row r="57">
      <c r="A57" s="4" t="n"/>
      <c r="B57" s="28">
        <f>IF($A57="","",IFERROR(LOOKUP(2,1/((ISNUMBER(SEARCH(CONFIG!$A$3:$A$94,$A57)))*(CONFIG!$A$3:$A$94&lt;&gt;"")),CONFIG!$B$3:$B$94),"Otros"))</f>
        <v/>
      </c>
      <c r="C57" s="26" t="n"/>
      <c r="D57" s="15" t="n"/>
      <c r="E57" s="26" t="n"/>
    </row>
    <row r="58">
      <c r="A58" s="4" t="n"/>
      <c r="B58" s="28">
        <f>IF($A58="","",IFERROR(LOOKUP(2,1/((ISNUMBER(SEARCH(CONFIG!$A$3:$A$94,$A58)))*(CONFIG!$A$3:$A$94&lt;&gt;"")),CONFIG!$B$3:$B$94),"Otros"))</f>
        <v/>
      </c>
      <c r="C58" s="26" t="n"/>
      <c r="D58" s="15" t="n"/>
      <c r="E58" s="26" t="n"/>
    </row>
    <row r="59">
      <c r="A59" s="4" t="n"/>
      <c r="B59" s="28">
        <f>IF($A59="","",IFERROR(LOOKUP(2,1/((ISNUMBER(SEARCH(CONFIG!$A$3:$A$94,$A59)))*(CONFIG!$A$3:$A$94&lt;&gt;"")),CONFIG!$B$3:$B$94),"Otros"))</f>
        <v/>
      </c>
      <c r="C59" s="26" t="n"/>
      <c r="D59" s="15" t="n"/>
      <c r="E59" s="26" t="n"/>
    </row>
    <row r="60">
      <c r="A60" s="4" t="n"/>
      <c r="B60" s="28">
        <f>IF($A60="","",IFERROR(LOOKUP(2,1/((ISNUMBER(SEARCH(CONFIG!$A$3:$A$94,$A60)))*(CONFIG!$A$3:$A$94&lt;&gt;"")),CONFIG!$B$3:$B$94),"Otros"))</f>
        <v/>
      </c>
      <c r="C60" s="26" t="n"/>
      <c r="D60" s="15" t="n"/>
      <c r="E60" s="26" t="n"/>
    </row>
    <row r="61">
      <c r="A61" s="4" t="n"/>
      <c r="B61" s="28">
        <f>IF($A61="","",IFERROR(LOOKUP(2,1/((ISNUMBER(SEARCH(CONFIG!$A$3:$A$94,$A61)))*(CONFIG!$A$3:$A$94&lt;&gt;"")),CONFIG!$B$3:$B$94),"Otros"))</f>
        <v/>
      </c>
      <c r="C61" s="26" t="n"/>
      <c r="D61" s="15" t="n"/>
      <c r="E61" s="26" t="n"/>
    </row>
    <row r="62">
      <c r="A62" s="4" t="n"/>
      <c r="B62" s="28">
        <f>IF($A62="","",IFERROR(LOOKUP(2,1/((ISNUMBER(SEARCH(CONFIG!$A$3:$A$94,$A62)))*(CONFIG!$A$3:$A$94&lt;&gt;"")),CONFIG!$B$3:$B$94),"Otros"))</f>
        <v/>
      </c>
      <c r="C62" s="26" t="n"/>
      <c r="D62" s="15" t="n"/>
      <c r="E62" s="26" t="n"/>
    </row>
    <row r="63">
      <c r="A63" s="4" t="n"/>
      <c r="B63" s="28">
        <f>IF($A63="","",IFERROR(LOOKUP(2,1/((ISNUMBER(SEARCH(CONFIG!$A$3:$A$94,$A63)))*(CONFIG!$A$3:$A$94&lt;&gt;"")),CONFIG!$B$3:$B$94),"Otros"))</f>
        <v/>
      </c>
      <c r="C63" s="26" t="n"/>
      <c r="D63" s="15" t="n"/>
      <c r="E63" s="26" t="n"/>
    </row>
    <row r="64">
      <c r="A64" s="4" t="n"/>
      <c r="B64" s="28">
        <f>IF($A64="","",IFERROR(LOOKUP(2,1/((ISNUMBER(SEARCH(CONFIG!$A$3:$A$94,$A64)))*(CONFIG!$A$3:$A$94&lt;&gt;"")),CONFIG!$B$3:$B$94),"Otros"))</f>
        <v/>
      </c>
      <c r="C64" s="26" t="n"/>
      <c r="D64" s="15" t="n"/>
      <c r="E64" s="26" t="n"/>
    </row>
    <row r="65">
      <c r="A65" s="7" t="inlineStr">
        <is>
          <t>Subtotal AMEX / tarjeta</t>
        </is>
      </c>
      <c r="B65" s="10" t="n"/>
      <c r="C65" s="10" t="n"/>
      <c r="D65" s="8">
        <f>SUM(D29:D64)</f>
        <v/>
      </c>
      <c r="E65" s="10" t="n"/>
    </row>
    <row r="66" ht="28" customHeight="1">
      <c r="A66" s="16" t="inlineStr">
        <is>
          <t>➤ Pegá acá el resumen de la AMEX (Detalle + Monto). La categoría se completa sola según el mapa de la hoja CONFIG. No hace falta crear otro archivo.</t>
        </is>
      </c>
    </row>
    <row r="68">
      <c r="A68" s="29" t="inlineStr">
        <is>
          <t>RESUMEN · EN QUÉ SE GASTÓ MÁS</t>
        </is>
      </c>
    </row>
    <row r="69">
      <c r="A69" s="7" t="inlineStr">
        <is>
          <t>Por sección</t>
        </is>
      </c>
      <c r="B69" s="7" t="inlineStr">
        <is>
          <t>Monto</t>
        </is>
      </c>
      <c r="C69" s="30" t="inlineStr">
        <is>
          <t>% del total</t>
        </is>
      </c>
    </row>
    <row r="70">
      <c r="A70" s="4" t="inlineStr">
        <is>
          <t>Gastos fijos</t>
        </is>
      </c>
      <c r="B70" s="31">
        <f>$B$25</f>
        <v/>
      </c>
      <c r="C70" s="6">
        <f>IF(($B$25+$D$65)=0,0,($B$25)/($B$25+$D$65))</f>
        <v/>
      </c>
    </row>
    <row r="71">
      <c r="A71" s="4" t="inlineStr">
        <is>
          <t>Gastos AMEX / tarjeta</t>
        </is>
      </c>
      <c r="B71" s="31">
        <f>$D$65</f>
        <v/>
      </c>
      <c r="C71" s="6">
        <f>IF(($B$25+$D$65)=0,0,($D$65)/($B$25+$D$65))</f>
        <v/>
      </c>
    </row>
    <row r="72">
      <c r="A72" s="32" t="inlineStr">
        <is>
          <t>TOTAL</t>
        </is>
      </c>
      <c r="B72" s="33">
        <f>$B$25+$D$65</f>
        <v/>
      </c>
      <c r="C72" s="34">
        <f>IF(($B$25+$D$65)=0,0,1)</f>
        <v/>
      </c>
    </row>
    <row r="74">
      <c r="A74" s="7" t="inlineStr">
        <is>
          <t>Por categoría (AMEX / tarjeta)</t>
        </is>
      </c>
      <c r="B74" s="30" t="inlineStr">
        <is>
          <t>Monto</t>
        </is>
      </c>
      <c r="C74" s="30" t="inlineStr">
        <is>
          <t>% AMEX</t>
        </is>
      </c>
    </row>
    <row r="75">
      <c r="A75" s="4" t="inlineStr">
        <is>
          <t>Supermercado</t>
        </is>
      </c>
      <c r="B75" s="35">
        <f>SUMIF($B$29:$B$64,A75,$D$29:$D$64)</f>
        <v/>
      </c>
      <c r="C75" s="6">
        <f>IF($D$65=0,0,B75/$D$65)</f>
        <v/>
      </c>
    </row>
    <row r="76">
      <c r="A76" s="4" t="inlineStr">
        <is>
          <t>Verdulería</t>
        </is>
      </c>
      <c r="B76" s="35">
        <f>SUMIF($B$29:$B$64,A76,$D$29:$D$64)</f>
        <v/>
      </c>
      <c r="C76" s="6">
        <f>IF($D$65=0,0,B76/$D$65)</f>
        <v/>
      </c>
    </row>
    <row r="77">
      <c r="A77" s="4" t="inlineStr">
        <is>
          <t>Delivery</t>
        </is>
      </c>
      <c r="B77" s="35">
        <f>SUMIF($B$29:$B$64,A77,$D$29:$D$64)</f>
        <v/>
      </c>
      <c r="C77" s="6">
        <f>IF($D$65=0,0,B77/$D$65)</f>
        <v/>
      </c>
    </row>
    <row r="78">
      <c r="A78" s="4" t="inlineStr">
        <is>
          <t>Cafecito</t>
        </is>
      </c>
      <c r="B78" s="35">
        <f>SUMIF($B$29:$B$64,A78,$D$29:$D$64)</f>
        <v/>
      </c>
      <c r="C78" s="6">
        <f>IF($D$65=0,0,B78/$D$65)</f>
        <v/>
      </c>
    </row>
    <row r="79">
      <c r="A79" s="4" t="inlineStr">
        <is>
          <t>Restaurant</t>
        </is>
      </c>
      <c r="B79" s="35">
        <f>SUMIF($B$29:$B$64,A79,$D$29:$D$64)</f>
        <v/>
      </c>
      <c r="C79" s="6">
        <f>IF($D$65=0,0,B79/$D$65)</f>
        <v/>
      </c>
    </row>
    <row r="80">
      <c r="A80" s="4" t="inlineStr">
        <is>
          <t>Salida</t>
        </is>
      </c>
      <c r="B80" s="35">
        <f>SUMIF($B$29:$B$64,A80,$D$29:$D$64)</f>
        <v/>
      </c>
      <c r="C80" s="6">
        <f>IF($D$65=0,0,B80/$D$65)</f>
        <v/>
      </c>
    </row>
    <row r="81">
      <c r="A81" s="4" t="inlineStr">
        <is>
          <t>Nafta</t>
        </is>
      </c>
      <c r="B81" s="35">
        <f>SUMIF($B$29:$B$64,A81,$D$29:$D$64)</f>
        <v/>
      </c>
      <c r="C81" s="6">
        <f>IF($D$65=0,0,B81/$D$65)</f>
        <v/>
      </c>
    </row>
    <row r="82">
      <c r="A82" s="4" t="inlineStr">
        <is>
          <t>Transporte</t>
        </is>
      </c>
      <c r="B82" s="35">
        <f>SUMIF($B$29:$B$64,A82,$D$29:$D$64)</f>
        <v/>
      </c>
      <c r="C82" s="6">
        <f>IF($D$65=0,0,B82/$D$65)</f>
        <v/>
      </c>
    </row>
    <row r="83">
      <c r="A83" s="4" t="inlineStr">
        <is>
          <t>Veterinaria</t>
        </is>
      </c>
      <c r="B83" s="35">
        <f>SUMIF($B$29:$B$64,A83,$D$29:$D$64)</f>
        <v/>
      </c>
      <c r="C83" s="6">
        <f>IF($D$65=0,0,B83/$D$65)</f>
        <v/>
      </c>
    </row>
    <row r="84">
      <c r="A84" s="4" t="inlineStr">
        <is>
          <t>Farmacia</t>
        </is>
      </c>
      <c r="B84" s="35">
        <f>SUMIF($B$29:$B$64,A84,$D$29:$D$64)</f>
        <v/>
      </c>
      <c r="C84" s="6">
        <f>IF($D$65=0,0,B84/$D$65)</f>
        <v/>
      </c>
    </row>
    <row r="85">
      <c r="A85" s="4" t="inlineStr">
        <is>
          <t>Viaje</t>
        </is>
      </c>
      <c r="B85" s="35">
        <f>SUMIF($B$29:$B$64,A85,$D$29:$D$64)</f>
        <v/>
      </c>
      <c r="C85" s="6">
        <f>IF($D$65=0,0,B85/$D$65)</f>
        <v/>
      </c>
    </row>
    <row r="86">
      <c r="A86" s="4" t="inlineStr">
        <is>
          <t>Trámites</t>
        </is>
      </c>
      <c r="B86" s="35">
        <f>SUMIF($B$29:$B$64,A86,$D$29:$D$64)</f>
        <v/>
      </c>
      <c r="C86" s="6">
        <f>IF($D$65=0,0,B86/$D$65)</f>
        <v/>
      </c>
    </row>
    <row r="87">
      <c r="A87" s="4" t="inlineStr">
        <is>
          <t>Otros</t>
        </is>
      </c>
      <c r="B87" s="35">
        <f>SUMIF($B$29:$B$64,A87,$D$29:$D$64)</f>
        <v/>
      </c>
      <c r="C87" s="6">
        <f>IF($D$65=0,0,B87/$D$65)</f>
        <v/>
      </c>
    </row>
    <row r="88">
      <c r="A88" s="36" t="inlineStr">
        <is>
          <t>Top categoría</t>
        </is>
      </c>
      <c r="B88" s="37">
        <f>IFERROR(INDEX(A75:A87,MATCH(MAX(B75:B87),B75:B87,0)),"-")</f>
        <v/>
      </c>
      <c r="C88" s="38">
        <f>MAX(B75:B87)</f>
        <v/>
      </c>
    </row>
    <row r="90">
      <c r="A90" s="39" t="inlineStr">
        <is>
          <t>SUGERIDO PARA EL MES SIGUIENTE  ·  según lo gastado este mes</t>
        </is>
      </c>
    </row>
    <row r="91">
      <c r="A91" s="40" t="inlineStr">
        <is>
          <t>Base (gasto del mes)</t>
        </is>
      </c>
      <c r="B91" s="40" t="inlineStr">
        <is>
          <t>% Loli</t>
        </is>
      </c>
      <c r="C91" s="40" t="inlineStr">
        <is>
          <t>% Tito</t>
        </is>
      </c>
      <c r="D91" s="40" t="inlineStr">
        <is>
          <t>Sugerido Loli</t>
        </is>
      </c>
      <c r="E91" s="40" t="inlineStr">
        <is>
          <t>Sugerido Tito</t>
        </is>
      </c>
    </row>
    <row r="92">
      <c r="A92" s="41">
        <f>$B$25+$D$65</f>
        <v/>
      </c>
      <c r="B92" s="42">
        <f>PCT_LOLI</f>
        <v/>
      </c>
      <c r="C92" s="42">
        <f>PCT_TITO</f>
        <v/>
      </c>
      <c r="D92" s="43">
        <f>A92*B92</f>
        <v/>
      </c>
      <c r="E92" s="43">
        <f>A92*C92</f>
        <v/>
      </c>
    </row>
    <row r="93" ht="26" customHeight="1">
      <c r="A93" s="16" t="inlineStr">
        <is>
          <t>Idea: para no quedar cortos, cada uno aporta aprox. lo que le tocó este mes según el split 40/60. Si querés margen, subí un 10-15%.</t>
        </is>
      </c>
    </row>
  </sheetData>
  <mergeCells count="8">
    <mergeCell ref="A93:G93"/>
    <mergeCell ref="A66:G66"/>
    <mergeCell ref="A1:G1"/>
    <mergeCell ref="A27:G27"/>
    <mergeCell ref="A8:G8"/>
    <mergeCell ref="A3:G3"/>
    <mergeCell ref="A90:G90"/>
    <mergeCell ref="A68:G68"/>
  </mergeCells>
  <dataValidations count="2">
    <dataValidation sqref="C10:C24 E29:E64" showDropDown="0" showInputMessage="0" showErrorMessage="0" allowBlank="1" type="list">
      <formula1>"AMEX Loli,AMEX Tito,Transferencia,Efectivo"</formula1>
    </dataValidation>
    <dataValidation sqref="C29:C64" showDropDown="0" showInputMessage="0" showErrorMessage="0" allowBlank="1" type="list">
      <formula1>"Núñez,Pilar,Ambos"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87"/>
  <sheetViews>
    <sheetView showGridLines="0" workbookViewId="0">
      <selection activeCell="A1" sqref="A1"/>
    </sheetView>
  </sheetViews>
  <sheetFormatPr baseColWidth="8" defaultRowHeight="15"/>
  <cols>
    <col width="30" customWidth="1" min="1" max="1"/>
    <col width="14" customWidth="1" min="2" max="2"/>
    <col width="12" customWidth="1" min="3" max="3"/>
    <col width="14" customWidth="1" min="4" max="4"/>
    <col width="16" customWidth="1" min="5" max="5"/>
    <col width="14" customWidth="1" min="6" max="6"/>
    <col width="14" customWidth="1" min="7" max="7"/>
  </cols>
  <sheetData>
    <row r="1" ht="30" customHeight="1">
      <c r="A1" s="1" t="inlineStr">
        <is>
          <t>AGOSTO 2026</t>
        </is>
      </c>
    </row>
    <row r="3">
      <c r="A3" s="2" t="inlineStr">
        <is>
          <t>CONTROL DEL MES</t>
        </is>
      </c>
    </row>
    <row r="4" ht="26" customHeight="1">
      <c r="A4" s="17" t="inlineStr">
        <is>
          <t>Aporte Loli</t>
        </is>
      </c>
      <c r="B4" s="17" t="inlineStr">
        <is>
          <t>Aporte Tito</t>
        </is>
      </c>
      <c r="C4" s="17" t="inlineStr">
        <is>
          <t>Sobró del mes anterior</t>
        </is>
      </c>
      <c r="D4" s="17">
        <f> Total disponible</f>
        <v/>
      </c>
      <c r="E4" s="17" t="inlineStr">
        <is>
          <t>Total gastado</t>
        </is>
      </c>
      <c r="F4" s="18" t="inlineStr">
        <is>
          <t>FALTÓ</t>
        </is>
      </c>
      <c r="G4" s="19" t="inlineStr">
        <is>
          <t>SOBRÓ (pasa →)</t>
        </is>
      </c>
    </row>
    <row r="5">
      <c r="A5" s="20" t="n">
        <v>0</v>
      </c>
      <c r="B5" s="20" t="n">
        <v>0</v>
      </c>
      <c r="C5" s="20">
        <f>'JULIO'!$G$5</f>
        <v/>
      </c>
      <c r="D5" s="21">
        <f>A5+B5+C5</f>
        <v/>
      </c>
      <c r="E5" s="21">
        <f>B25+D59</f>
        <v/>
      </c>
      <c r="F5" s="22">
        <f>MAX(0,E5-D5)</f>
        <v/>
      </c>
      <c r="G5" s="23">
        <f>MAX(0,D5-E5)</f>
        <v/>
      </c>
    </row>
    <row r="6"/>
    <row r="8">
      <c r="A8" s="24" t="inlineStr">
        <is>
          <t>GASTOS FIJOS   ·   monto y medio de pago</t>
        </is>
      </c>
    </row>
    <row r="9">
      <c r="A9" s="25" t="inlineStr">
        <is>
          <t>Concepto</t>
        </is>
      </c>
      <c r="B9" s="25" t="inlineStr">
        <is>
          <t>Monto</t>
        </is>
      </c>
      <c r="C9" s="25" t="inlineStr">
        <is>
          <t>Medio de pago</t>
        </is>
      </c>
    </row>
    <row r="10">
      <c r="A10" s="4" t="inlineStr">
        <is>
          <t>Expensas Núñez</t>
        </is>
      </c>
      <c r="B10" s="15" t="n"/>
      <c r="C10" s="26" t="inlineStr"/>
    </row>
    <row r="11">
      <c r="A11" s="4" t="inlineStr">
        <is>
          <t>Expensas Pilar</t>
        </is>
      </c>
      <c r="B11" s="15" t="n"/>
      <c r="C11" s="26" t="inlineStr"/>
    </row>
    <row r="12">
      <c r="A12" s="4" t="inlineStr">
        <is>
          <t>Luz Núñez</t>
        </is>
      </c>
      <c r="B12" s="15" t="n"/>
      <c r="C12" s="26" t="inlineStr"/>
    </row>
    <row r="13">
      <c r="A13" s="4" t="inlineStr">
        <is>
          <t>Luz Pilar</t>
        </is>
      </c>
      <c r="B13" s="15" t="n"/>
      <c r="C13" s="26" t="inlineStr"/>
    </row>
    <row r="14">
      <c r="A14" s="4" t="inlineStr">
        <is>
          <t>Wifi Núñez</t>
        </is>
      </c>
      <c r="B14" s="15" t="n"/>
      <c r="C14" s="26" t="inlineStr"/>
    </row>
    <row r="15">
      <c r="A15" s="4" t="inlineStr">
        <is>
          <t>Wifi Pilar</t>
        </is>
      </c>
      <c r="B15" s="15" t="n"/>
      <c r="C15" s="26" t="inlineStr"/>
    </row>
    <row r="16">
      <c r="A16" s="4" t="inlineStr">
        <is>
          <t>Paseadora Antonio</t>
        </is>
      </c>
      <c r="B16" s="15" t="n"/>
      <c r="C16" s="26" t="inlineStr"/>
    </row>
    <row r="17">
      <c r="A17" s="4" t="inlineStr">
        <is>
          <t>Limpieza Núñez</t>
        </is>
      </c>
      <c r="B17" s="15" t="n"/>
      <c r="C17" s="26" t="inlineStr"/>
    </row>
    <row r="18">
      <c r="A18" s="4" t="inlineStr">
        <is>
          <t>Limpieza Pilar</t>
        </is>
      </c>
      <c r="B18" s="15" t="n"/>
      <c r="C18" s="26" t="inlineStr"/>
    </row>
    <row r="19">
      <c r="A19" s="4" t="inlineStr">
        <is>
          <t>Netflix</t>
        </is>
      </c>
      <c r="B19" s="15" t="n"/>
      <c r="C19" s="26" t="inlineStr"/>
    </row>
    <row r="20">
      <c r="A20" s="4" t="inlineStr">
        <is>
          <t>Pilates</t>
        </is>
      </c>
      <c r="B20" s="15" t="n"/>
      <c r="C20" s="26" t="inlineStr"/>
    </row>
    <row r="21">
      <c r="A21" s="27" t="n"/>
      <c r="B21" s="15" t="n"/>
      <c r="C21" s="26" t="n"/>
    </row>
    <row r="22">
      <c r="A22" s="27" t="n"/>
      <c r="B22" s="15" t="n"/>
      <c r="C22" s="26" t="n"/>
    </row>
    <row r="23">
      <c r="A23" s="27" t="n"/>
      <c r="B23" s="15" t="n"/>
      <c r="C23" s="26" t="n"/>
    </row>
    <row r="24">
      <c r="A24" s="27" t="n"/>
      <c r="B24" s="15" t="n"/>
      <c r="C24" s="26" t="n"/>
    </row>
    <row r="25">
      <c r="A25" s="7" t="inlineStr">
        <is>
          <t>Subtotal fijos</t>
        </is>
      </c>
      <c r="B25" s="8">
        <f>SUM(B10:B24)</f>
        <v/>
      </c>
      <c r="C25" s="10" t="n"/>
    </row>
    <row r="27">
      <c r="A27" s="24" t="inlineStr">
        <is>
          <t>GASTOS AMEX / TARJETA   ·   por categoría (se acomoda solo)</t>
        </is>
      </c>
    </row>
    <row r="28">
      <c r="A28" s="25" t="inlineStr">
        <is>
          <t>Detalle / Comercio</t>
        </is>
      </c>
      <c r="B28" s="25" t="inlineStr">
        <is>
          <t>Categoría (auto)</t>
        </is>
      </c>
      <c r="C28" s="25" t="inlineStr">
        <is>
          <t>Casa</t>
        </is>
      </c>
      <c r="D28" s="25" t="inlineStr">
        <is>
          <t>Monto</t>
        </is>
      </c>
      <c r="E28" s="25" t="inlineStr">
        <is>
          <t>Medio de pago</t>
        </is>
      </c>
    </row>
    <row r="29">
      <c r="A29" s="4" t="n"/>
      <c r="B29" s="28">
        <f>IF($A29="","",IFERROR(LOOKUP(2,1/((ISNUMBER(SEARCH(CONFIG!$A$3:$A$94,$A29)))*(CONFIG!$A$3:$A$94&lt;&gt;"")),CONFIG!$B$3:$B$94),"Otros"))</f>
        <v/>
      </c>
      <c r="C29" s="26" t="n"/>
      <c r="D29" s="15" t="n"/>
      <c r="E29" s="26" t="n"/>
    </row>
    <row r="30">
      <c r="A30" s="4" t="n"/>
      <c r="B30" s="28">
        <f>IF($A30="","",IFERROR(LOOKUP(2,1/((ISNUMBER(SEARCH(CONFIG!$A$3:$A$94,$A30)))*(CONFIG!$A$3:$A$94&lt;&gt;"")),CONFIG!$B$3:$B$94),"Otros"))</f>
        <v/>
      </c>
      <c r="C30" s="26" t="n"/>
      <c r="D30" s="15" t="n"/>
      <c r="E30" s="26" t="n"/>
    </row>
    <row r="31">
      <c r="A31" s="4" t="n"/>
      <c r="B31" s="28">
        <f>IF($A31="","",IFERROR(LOOKUP(2,1/((ISNUMBER(SEARCH(CONFIG!$A$3:$A$94,$A31)))*(CONFIG!$A$3:$A$94&lt;&gt;"")),CONFIG!$B$3:$B$94),"Otros"))</f>
        <v/>
      </c>
      <c r="C31" s="26" t="n"/>
      <c r="D31" s="15" t="n"/>
      <c r="E31" s="26" t="n"/>
    </row>
    <row r="32">
      <c r="A32" s="4" t="n"/>
      <c r="B32" s="28">
        <f>IF($A32="","",IFERROR(LOOKUP(2,1/((ISNUMBER(SEARCH(CONFIG!$A$3:$A$94,$A32)))*(CONFIG!$A$3:$A$94&lt;&gt;"")),CONFIG!$B$3:$B$94),"Otros"))</f>
        <v/>
      </c>
      <c r="C32" s="26" t="n"/>
      <c r="D32" s="15" t="n"/>
      <c r="E32" s="26" t="n"/>
    </row>
    <row r="33">
      <c r="A33" s="4" t="n"/>
      <c r="B33" s="28">
        <f>IF($A33="","",IFERROR(LOOKUP(2,1/((ISNUMBER(SEARCH(CONFIG!$A$3:$A$94,$A33)))*(CONFIG!$A$3:$A$94&lt;&gt;"")),CONFIG!$B$3:$B$94),"Otros"))</f>
        <v/>
      </c>
      <c r="C33" s="26" t="n"/>
      <c r="D33" s="15" t="n"/>
      <c r="E33" s="26" t="n"/>
    </row>
    <row r="34">
      <c r="A34" s="4" t="n"/>
      <c r="B34" s="28">
        <f>IF($A34="","",IFERROR(LOOKUP(2,1/((ISNUMBER(SEARCH(CONFIG!$A$3:$A$94,$A34)))*(CONFIG!$A$3:$A$94&lt;&gt;"")),CONFIG!$B$3:$B$94),"Otros"))</f>
        <v/>
      </c>
      <c r="C34" s="26" t="n"/>
      <c r="D34" s="15" t="n"/>
      <c r="E34" s="26" t="n"/>
    </row>
    <row r="35">
      <c r="A35" s="4" t="n"/>
      <c r="B35" s="28">
        <f>IF($A35="","",IFERROR(LOOKUP(2,1/((ISNUMBER(SEARCH(CONFIG!$A$3:$A$94,$A35)))*(CONFIG!$A$3:$A$94&lt;&gt;"")),CONFIG!$B$3:$B$94),"Otros"))</f>
        <v/>
      </c>
      <c r="C35" s="26" t="n"/>
      <c r="D35" s="15" t="n"/>
      <c r="E35" s="26" t="n"/>
    </row>
    <row r="36">
      <c r="A36" s="4" t="n"/>
      <c r="B36" s="28">
        <f>IF($A36="","",IFERROR(LOOKUP(2,1/((ISNUMBER(SEARCH(CONFIG!$A$3:$A$94,$A36)))*(CONFIG!$A$3:$A$94&lt;&gt;"")),CONFIG!$B$3:$B$94),"Otros"))</f>
        <v/>
      </c>
      <c r="C36" s="26" t="n"/>
      <c r="D36" s="15" t="n"/>
      <c r="E36" s="26" t="n"/>
    </row>
    <row r="37">
      <c r="A37" s="4" t="n"/>
      <c r="B37" s="28">
        <f>IF($A37="","",IFERROR(LOOKUP(2,1/((ISNUMBER(SEARCH(CONFIG!$A$3:$A$94,$A37)))*(CONFIG!$A$3:$A$94&lt;&gt;"")),CONFIG!$B$3:$B$94),"Otros"))</f>
        <v/>
      </c>
      <c r="C37" s="26" t="n"/>
      <c r="D37" s="15" t="n"/>
      <c r="E37" s="26" t="n"/>
    </row>
    <row r="38">
      <c r="A38" s="4" t="n"/>
      <c r="B38" s="28">
        <f>IF($A38="","",IFERROR(LOOKUP(2,1/((ISNUMBER(SEARCH(CONFIG!$A$3:$A$94,$A38)))*(CONFIG!$A$3:$A$94&lt;&gt;"")),CONFIG!$B$3:$B$94),"Otros"))</f>
        <v/>
      </c>
      <c r="C38" s="26" t="n"/>
      <c r="D38" s="15" t="n"/>
      <c r="E38" s="26" t="n"/>
    </row>
    <row r="39">
      <c r="A39" s="4" t="n"/>
      <c r="B39" s="28">
        <f>IF($A39="","",IFERROR(LOOKUP(2,1/((ISNUMBER(SEARCH(CONFIG!$A$3:$A$94,$A39)))*(CONFIG!$A$3:$A$94&lt;&gt;"")),CONFIG!$B$3:$B$94),"Otros"))</f>
        <v/>
      </c>
      <c r="C39" s="26" t="n"/>
      <c r="D39" s="15" t="n"/>
      <c r="E39" s="26" t="n"/>
    </row>
    <row r="40">
      <c r="A40" s="4" t="n"/>
      <c r="B40" s="28">
        <f>IF($A40="","",IFERROR(LOOKUP(2,1/((ISNUMBER(SEARCH(CONFIG!$A$3:$A$94,$A40)))*(CONFIG!$A$3:$A$94&lt;&gt;"")),CONFIG!$B$3:$B$94),"Otros"))</f>
        <v/>
      </c>
      <c r="C40" s="26" t="n"/>
      <c r="D40" s="15" t="n"/>
      <c r="E40" s="26" t="n"/>
    </row>
    <row r="41">
      <c r="A41" s="4" t="n"/>
      <c r="B41" s="28">
        <f>IF($A41="","",IFERROR(LOOKUP(2,1/((ISNUMBER(SEARCH(CONFIG!$A$3:$A$94,$A41)))*(CONFIG!$A$3:$A$94&lt;&gt;"")),CONFIG!$B$3:$B$94),"Otros"))</f>
        <v/>
      </c>
      <c r="C41" s="26" t="n"/>
      <c r="D41" s="15" t="n"/>
      <c r="E41" s="26" t="n"/>
    </row>
    <row r="42">
      <c r="A42" s="4" t="n"/>
      <c r="B42" s="28">
        <f>IF($A42="","",IFERROR(LOOKUP(2,1/((ISNUMBER(SEARCH(CONFIG!$A$3:$A$94,$A42)))*(CONFIG!$A$3:$A$94&lt;&gt;"")),CONFIG!$B$3:$B$94),"Otros"))</f>
        <v/>
      </c>
      <c r="C42" s="26" t="n"/>
      <c r="D42" s="15" t="n"/>
      <c r="E42" s="26" t="n"/>
    </row>
    <row r="43">
      <c r="A43" s="4" t="n"/>
      <c r="B43" s="28">
        <f>IF($A43="","",IFERROR(LOOKUP(2,1/((ISNUMBER(SEARCH(CONFIG!$A$3:$A$94,$A43)))*(CONFIG!$A$3:$A$94&lt;&gt;"")),CONFIG!$B$3:$B$94),"Otros"))</f>
        <v/>
      </c>
      <c r="C43" s="26" t="n"/>
      <c r="D43" s="15" t="n"/>
      <c r="E43" s="26" t="n"/>
    </row>
    <row r="44">
      <c r="A44" s="4" t="n"/>
      <c r="B44" s="28">
        <f>IF($A44="","",IFERROR(LOOKUP(2,1/((ISNUMBER(SEARCH(CONFIG!$A$3:$A$94,$A44)))*(CONFIG!$A$3:$A$94&lt;&gt;"")),CONFIG!$B$3:$B$94),"Otros"))</f>
        <v/>
      </c>
      <c r="C44" s="26" t="n"/>
      <c r="D44" s="15" t="n"/>
      <c r="E44" s="26" t="n"/>
    </row>
    <row r="45">
      <c r="A45" s="4" t="n"/>
      <c r="B45" s="28">
        <f>IF($A45="","",IFERROR(LOOKUP(2,1/((ISNUMBER(SEARCH(CONFIG!$A$3:$A$94,$A45)))*(CONFIG!$A$3:$A$94&lt;&gt;"")),CONFIG!$B$3:$B$94),"Otros"))</f>
        <v/>
      </c>
      <c r="C45" s="26" t="n"/>
      <c r="D45" s="15" t="n"/>
      <c r="E45" s="26" t="n"/>
    </row>
    <row r="46">
      <c r="A46" s="4" t="n"/>
      <c r="B46" s="28">
        <f>IF($A46="","",IFERROR(LOOKUP(2,1/((ISNUMBER(SEARCH(CONFIG!$A$3:$A$94,$A46)))*(CONFIG!$A$3:$A$94&lt;&gt;"")),CONFIG!$B$3:$B$94),"Otros"))</f>
        <v/>
      </c>
      <c r="C46" s="26" t="n"/>
      <c r="D46" s="15" t="n"/>
      <c r="E46" s="26" t="n"/>
    </row>
    <row r="47">
      <c r="A47" s="4" t="n"/>
      <c r="B47" s="28">
        <f>IF($A47="","",IFERROR(LOOKUP(2,1/((ISNUMBER(SEARCH(CONFIG!$A$3:$A$94,$A47)))*(CONFIG!$A$3:$A$94&lt;&gt;"")),CONFIG!$B$3:$B$94),"Otros"))</f>
        <v/>
      </c>
      <c r="C47" s="26" t="n"/>
      <c r="D47" s="15" t="n"/>
      <c r="E47" s="26" t="n"/>
    </row>
    <row r="48">
      <c r="A48" s="4" t="n"/>
      <c r="B48" s="28">
        <f>IF($A48="","",IFERROR(LOOKUP(2,1/((ISNUMBER(SEARCH(CONFIG!$A$3:$A$94,$A48)))*(CONFIG!$A$3:$A$94&lt;&gt;"")),CONFIG!$B$3:$B$94),"Otros"))</f>
        <v/>
      </c>
      <c r="C48" s="26" t="n"/>
      <c r="D48" s="15" t="n"/>
      <c r="E48" s="26" t="n"/>
    </row>
    <row r="49">
      <c r="A49" s="4" t="n"/>
      <c r="B49" s="28">
        <f>IF($A49="","",IFERROR(LOOKUP(2,1/((ISNUMBER(SEARCH(CONFIG!$A$3:$A$94,$A49)))*(CONFIG!$A$3:$A$94&lt;&gt;"")),CONFIG!$B$3:$B$94),"Otros"))</f>
        <v/>
      </c>
      <c r="C49" s="26" t="n"/>
      <c r="D49" s="15" t="n"/>
      <c r="E49" s="26" t="n"/>
    </row>
    <row r="50">
      <c r="A50" s="4" t="n"/>
      <c r="B50" s="28">
        <f>IF($A50="","",IFERROR(LOOKUP(2,1/((ISNUMBER(SEARCH(CONFIG!$A$3:$A$94,$A50)))*(CONFIG!$A$3:$A$94&lt;&gt;"")),CONFIG!$B$3:$B$94),"Otros"))</f>
        <v/>
      </c>
      <c r="C50" s="26" t="n"/>
      <c r="D50" s="15" t="n"/>
      <c r="E50" s="26" t="n"/>
    </row>
    <row r="51">
      <c r="A51" s="4" t="n"/>
      <c r="B51" s="28">
        <f>IF($A51="","",IFERROR(LOOKUP(2,1/((ISNUMBER(SEARCH(CONFIG!$A$3:$A$94,$A51)))*(CONFIG!$A$3:$A$94&lt;&gt;"")),CONFIG!$B$3:$B$94),"Otros"))</f>
        <v/>
      </c>
      <c r="C51" s="26" t="n"/>
      <c r="D51" s="15" t="n"/>
      <c r="E51" s="26" t="n"/>
    </row>
    <row r="52">
      <c r="A52" s="4" t="n"/>
      <c r="B52" s="28">
        <f>IF($A52="","",IFERROR(LOOKUP(2,1/((ISNUMBER(SEARCH(CONFIG!$A$3:$A$94,$A52)))*(CONFIG!$A$3:$A$94&lt;&gt;"")),CONFIG!$B$3:$B$94),"Otros"))</f>
        <v/>
      </c>
      <c r="C52" s="26" t="n"/>
      <c r="D52" s="15" t="n"/>
      <c r="E52" s="26" t="n"/>
    </row>
    <row r="53">
      <c r="A53" s="4" t="n"/>
      <c r="B53" s="28">
        <f>IF($A53="","",IFERROR(LOOKUP(2,1/((ISNUMBER(SEARCH(CONFIG!$A$3:$A$94,$A53)))*(CONFIG!$A$3:$A$94&lt;&gt;"")),CONFIG!$B$3:$B$94),"Otros"))</f>
        <v/>
      </c>
      <c r="C53" s="26" t="n"/>
      <c r="D53" s="15" t="n"/>
      <c r="E53" s="26" t="n"/>
    </row>
    <row r="54">
      <c r="A54" s="4" t="n"/>
      <c r="B54" s="28">
        <f>IF($A54="","",IFERROR(LOOKUP(2,1/((ISNUMBER(SEARCH(CONFIG!$A$3:$A$94,$A54)))*(CONFIG!$A$3:$A$94&lt;&gt;"")),CONFIG!$B$3:$B$94),"Otros"))</f>
        <v/>
      </c>
      <c r="C54" s="26" t="n"/>
      <c r="D54" s="15" t="n"/>
      <c r="E54" s="26" t="n"/>
    </row>
    <row r="55">
      <c r="A55" s="4" t="n"/>
      <c r="B55" s="28">
        <f>IF($A55="","",IFERROR(LOOKUP(2,1/((ISNUMBER(SEARCH(CONFIG!$A$3:$A$94,$A55)))*(CONFIG!$A$3:$A$94&lt;&gt;"")),CONFIG!$B$3:$B$94),"Otros"))</f>
        <v/>
      </c>
      <c r="C55" s="26" t="n"/>
      <c r="D55" s="15" t="n"/>
      <c r="E55" s="26" t="n"/>
    </row>
    <row r="56">
      <c r="A56" s="4" t="n"/>
      <c r="B56" s="28">
        <f>IF($A56="","",IFERROR(LOOKUP(2,1/((ISNUMBER(SEARCH(CONFIG!$A$3:$A$94,$A56)))*(CONFIG!$A$3:$A$94&lt;&gt;"")),CONFIG!$B$3:$B$94),"Otros"))</f>
        <v/>
      </c>
      <c r="C56" s="26" t="n"/>
      <c r="D56" s="15" t="n"/>
      <c r="E56" s="26" t="n"/>
    </row>
    <row r="57">
      <c r="A57" s="4" t="n"/>
      <c r="B57" s="28">
        <f>IF($A57="","",IFERROR(LOOKUP(2,1/((ISNUMBER(SEARCH(CONFIG!$A$3:$A$94,$A57)))*(CONFIG!$A$3:$A$94&lt;&gt;"")),CONFIG!$B$3:$B$94),"Otros"))</f>
        <v/>
      </c>
      <c r="C57" s="26" t="n"/>
      <c r="D57" s="15" t="n"/>
      <c r="E57" s="26" t="n"/>
    </row>
    <row r="58">
      <c r="A58" s="4" t="n"/>
      <c r="B58" s="28">
        <f>IF($A58="","",IFERROR(LOOKUP(2,1/((ISNUMBER(SEARCH(CONFIG!$A$3:$A$94,$A58)))*(CONFIG!$A$3:$A$94&lt;&gt;"")),CONFIG!$B$3:$B$94),"Otros"))</f>
        <v/>
      </c>
      <c r="C58" s="26" t="n"/>
      <c r="D58" s="15" t="n"/>
      <c r="E58" s="26" t="n"/>
    </row>
    <row r="59">
      <c r="A59" s="7" t="inlineStr">
        <is>
          <t>Subtotal AMEX / tarjeta</t>
        </is>
      </c>
      <c r="B59" s="10" t="n"/>
      <c r="C59" s="10" t="n"/>
      <c r="D59" s="8">
        <f>SUM(D29:D58)</f>
        <v/>
      </c>
      <c r="E59" s="10" t="n"/>
    </row>
    <row r="60" ht="28" customHeight="1">
      <c r="A60" s="16" t="inlineStr">
        <is>
          <t>➤ Pegá acá el resumen de la AMEX (Detalle + Monto). La categoría se completa sola según el mapa de la hoja CONFIG. No hace falta crear otro archivo.</t>
        </is>
      </c>
    </row>
    <row r="62">
      <c r="A62" s="29" t="inlineStr">
        <is>
          <t>RESUMEN · EN QUÉ SE GASTÓ MÁS</t>
        </is>
      </c>
    </row>
    <row r="63">
      <c r="A63" s="7" t="inlineStr">
        <is>
          <t>Por sección</t>
        </is>
      </c>
      <c r="B63" s="7" t="inlineStr">
        <is>
          <t>Monto</t>
        </is>
      </c>
      <c r="C63" s="30" t="inlineStr">
        <is>
          <t>% del total</t>
        </is>
      </c>
    </row>
    <row r="64">
      <c r="A64" s="4" t="inlineStr">
        <is>
          <t>Gastos fijos</t>
        </is>
      </c>
      <c r="B64" s="31">
        <f>$B$25</f>
        <v/>
      </c>
      <c r="C64" s="6">
        <f>IF(($B$25+$D$59)=0,0,($B$25)/($B$25+$D$59))</f>
        <v/>
      </c>
    </row>
    <row r="65">
      <c r="A65" s="4" t="inlineStr">
        <is>
          <t>Gastos AMEX / tarjeta</t>
        </is>
      </c>
      <c r="B65" s="31">
        <f>$D$59</f>
        <v/>
      </c>
      <c r="C65" s="6">
        <f>IF(($B$25+$D$59)=0,0,($D$59)/($B$25+$D$59))</f>
        <v/>
      </c>
    </row>
    <row r="66">
      <c r="A66" s="32" t="inlineStr">
        <is>
          <t>TOTAL</t>
        </is>
      </c>
      <c r="B66" s="33">
        <f>$B$25+$D$59</f>
        <v/>
      </c>
      <c r="C66" s="34">
        <f>IF(($B$25+$D$59)=0,0,1)</f>
        <v/>
      </c>
    </row>
    <row r="68">
      <c r="A68" s="7" t="inlineStr">
        <is>
          <t>Por categoría (AMEX / tarjeta)</t>
        </is>
      </c>
      <c r="B68" s="30" t="inlineStr">
        <is>
          <t>Monto</t>
        </is>
      </c>
      <c r="C68" s="30" t="inlineStr">
        <is>
          <t>% AMEX</t>
        </is>
      </c>
    </row>
    <row r="69">
      <c r="A69" s="4" t="inlineStr">
        <is>
          <t>Supermercado</t>
        </is>
      </c>
      <c r="B69" s="35">
        <f>SUMIF($B$29:$B$58,A69,$D$29:$D$58)</f>
        <v/>
      </c>
      <c r="C69" s="6">
        <f>IF($D$59=0,0,B69/$D$59)</f>
        <v/>
      </c>
    </row>
    <row r="70">
      <c r="A70" s="4" t="inlineStr">
        <is>
          <t>Verdulería</t>
        </is>
      </c>
      <c r="B70" s="35">
        <f>SUMIF($B$29:$B$58,A70,$D$29:$D$58)</f>
        <v/>
      </c>
      <c r="C70" s="6">
        <f>IF($D$59=0,0,B70/$D$59)</f>
        <v/>
      </c>
    </row>
    <row r="71">
      <c r="A71" s="4" t="inlineStr">
        <is>
          <t>Delivery</t>
        </is>
      </c>
      <c r="B71" s="35">
        <f>SUMIF($B$29:$B$58,A71,$D$29:$D$58)</f>
        <v/>
      </c>
      <c r="C71" s="6">
        <f>IF($D$59=0,0,B71/$D$59)</f>
        <v/>
      </c>
    </row>
    <row r="72">
      <c r="A72" s="4" t="inlineStr">
        <is>
          <t>Cafecito</t>
        </is>
      </c>
      <c r="B72" s="35">
        <f>SUMIF($B$29:$B$58,A72,$D$29:$D$58)</f>
        <v/>
      </c>
      <c r="C72" s="6">
        <f>IF($D$59=0,0,B72/$D$59)</f>
        <v/>
      </c>
    </row>
    <row r="73">
      <c r="A73" s="4" t="inlineStr">
        <is>
          <t>Restaurant</t>
        </is>
      </c>
      <c r="B73" s="35">
        <f>SUMIF($B$29:$B$58,A73,$D$29:$D$58)</f>
        <v/>
      </c>
      <c r="C73" s="6">
        <f>IF($D$59=0,0,B73/$D$59)</f>
        <v/>
      </c>
    </row>
    <row r="74">
      <c r="A74" s="4" t="inlineStr">
        <is>
          <t>Salida</t>
        </is>
      </c>
      <c r="B74" s="35">
        <f>SUMIF($B$29:$B$58,A74,$D$29:$D$58)</f>
        <v/>
      </c>
      <c r="C74" s="6">
        <f>IF($D$59=0,0,B74/$D$59)</f>
        <v/>
      </c>
    </row>
    <row r="75">
      <c r="A75" s="4" t="inlineStr">
        <is>
          <t>Nafta</t>
        </is>
      </c>
      <c r="B75" s="35">
        <f>SUMIF($B$29:$B$58,A75,$D$29:$D$58)</f>
        <v/>
      </c>
      <c r="C75" s="6">
        <f>IF($D$59=0,0,B75/$D$59)</f>
        <v/>
      </c>
    </row>
    <row r="76">
      <c r="A76" s="4" t="inlineStr">
        <is>
          <t>Transporte</t>
        </is>
      </c>
      <c r="B76" s="35">
        <f>SUMIF($B$29:$B$58,A76,$D$29:$D$58)</f>
        <v/>
      </c>
      <c r="C76" s="6">
        <f>IF($D$59=0,0,B76/$D$59)</f>
        <v/>
      </c>
    </row>
    <row r="77">
      <c r="A77" s="4" t="inlineStr">
        <is>
          <t>Veterinaria</t>
        </is>
      </c>
      <c r="B77" s="35">
        <f>SUMIF($B$29:$B$58,A77,$D$29:$D$58)</f>
        <v/>
      </c>
      <c r="C77" s="6">
        <f>IF($D$59=0,0,B77/$D$59)</f>
        <v/>
      </c>
    </row>
    <row r="78">
      <c r="A78" s="4" t="inlineStr">
        <is>
          <t>Farmacia</t>
        </is>
      </c>
      <c r="B78" s="35">
        <f>SUMIF($B$29:$B$58,A78,$D$29:$D$58)</f>
        <v/>
      </c>
      <c r="C78" s="6">
        <f>IF($D$59=0,0,B78/$D$59)</f>
        <v/>
      </c>
    </row>
    <row r="79">
      <c r="A79" s="4" t="inlineStr">
        <is>
          <t>Viaje</t>
        </is>
      </c>
      <c r="B79" s="35">
        <f>SUMIF($B$29:$B$58,A79,$D$29:$D$58)</f>
        <v/>
      </c>
      <c r="C79" s="6">
        <f>IF($D$59=0,0,B79/$D$59)</f>
        <v/>
      </c>
    </row>
    <row r="80">
      <c r="A80" s="4" t="inlineStr">
        <is>
          <t>Trámites</t>
        </is>
      </c>
      <c r="B80" s="35">
        <f>SUMIF($B$29:$B$58,A80,$D$29:$D$58)</f>
        <v/>
      </c>
      <c r="C80" s="6">
        <f>IF($D$59=0,0,B80/$D$59)</f>
        <v/>
      </c>
    </row>
    <row r="81">
      <c r="A81" s="4" t="inlineStr">
        <is>
          <t>Otros</t>
        </is>
      </c>
      <c r="B81" s="35">
        <f>SUMIF($B$29:$B$58,A81,$D$29:$D$58)</f>
        <v/>
      </c>
      <c r="C81" s="6">
        <f>IF($D$59=0,0,B81/$D$59)</f>
        <v/>
      </c>
    </row>
    <row r="82">
      <c r="A82" s="36" t="inlineStr">
        <is>
          <t>Top categoría</t>
        </is>
      </c>
      <c r="B82" s="37">
        <f>IFERROR(INDEX(A69:A81,MATCH(MAX(B69:B81),B69:B81,0)),"-")</f>
        <v/>
      </c>
      <c r="C82" s="38">
        <f>MAX(B69:B81)</f>
        <v/>
      </c>
    </row>
    <row r="84">
      <c r="A84" s="39" t="inlineStr">
        <is>
          <t>SUGERIDO PARA EL MES SIGUIENTE  ·  según lo gastado este mes</t>
        </is>
      </c>
    </row>
    <row r="85">
      <c r="A85" s="40" t="inlineStr">
        <is>
          <t>Base (gasto del mes)</t>
        </is>
      </c>
      <c r="B85" s="40" t="inlineStr">
        <is>
          <t>% Loli</t>
        </is>
      </c>
      <c r="C85" s="40" t="inlineStr">
        <is>
          <t>% Tito</t>
        </is>
      </c>
      <c r="D85" s="40" t="inlineStr">
        <is>
          <t>Sugerido Loli</t>
        </is>
      </c>
      <c r="E85" s="40" t="inlineStr">
        <is>
          <t>Sugerido Tito</t>
        </is>
      </c>
    </row>
    <row r="86">
      <c r="A86" s="41">
        <f>$B$25+$D$59</f>
        <v/>
      </c>
      <c r="B86" s="42">
        <f>PCT_LOLI</f>
        <v/>
      </c>
      <c r="C86" s="42">
        <f>PCT_TITO</f>
        <v/>
      </c>
      <c r="D86" s="43">
        <f>A86*B86</f>
        <v/>
      </c>
      <c r="E86" s="43">
        <f>A86*C86</f>
        <v/>
      </c>
    </row>
    <row r="87" ht="26" customHeight="1">
      <c r="A87" s="16" t="inlineStr">
        <is>
          <t>Idea: para no quedar cortos, cada uno aporta aprox. lo que le tocó este mes según el split 40/60. Si querés margen, subí un 10-15%.</t>
        </is>
      </c>
    </row>
  </sheetData>
  <mergeCells count="8">
    <mergeCell ref="A84:G84"/>
    <mergeCell ref="A1:G1"/>
    <mergeCell ref="A27:G27"/>
    <mergeCell ref="A8:G8"/>
    <mergeCell ref="A3:G3"/>
    <mergeCell ref="A87:G87"/>
    <mergeCell ref="A62:G62"/>
    <mergeCell ref="A60:G60"/>
  </mergeCells>
  <dataValidations count="2">
    <dataValidation sqref="C10:C24 E29:E58" showDropDown="0" showInputMessage="0" showErrorMessage="0" allowBlank="1" type="list">
      <formula1>"AMEX Loli,AMEX Tito,Transferencia,Efectivo"</formula1>
    </dataValidation>
    <dataValidation sqref="C29:C58" showDropDown="0" showInputMessage="0" showErrorMessage="0" allowBlank="1" type="list">
      <formula1>"Núñez,Pilar,Ambos"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87"/>
  <sheetViews>
    <sheetView showGridLines="0" workbookViewId="0">
      <selection activeCell="A1" sqref="A1"/>
    </sheetView>
  </sheetViews>
  <sheetFormatPr baseColWidth="8" defaultRowHeight="15"/>
  <cols>
    <col width="30" customWidth="1" min="1" max="1"/>
    <col width="14" customWidth="1" min="2" max="2"/>
    <col width="12" customWidth="1" min="3" max="3"/>
    <col width="14" customWidth="1" min="4" max="4"/>
    <col width="16" customWidth="1" min="5" max="5"/>
    <col width="14" customWidth="1" min="6" max="6"/>
    <col width="14" customWidth="1" min="7" max="7"/>
  </cols>
  <sheetData>
    <row r="1" ht="30" customHeight="1">
      <c r="A1" s="1" t="inlineStr">
        <is>
          <t>SEPTIEMBRE 2026</t>
        </is>
      </c>
    </row>
    <row r="3">
      <c r="A3" s="2" t="inlineStr">
        <is>
          <t>CONTROL DEL MES</t>
        </is>
      </c>
    </row>
    <row r="4" ht="26" customHeight="1">
      <c r="A4" s="17" t="inlineStr">
        <is>
          <t>Aporte Loli</t>
        </is>
      </c>
      <c r="B4" s="17" t="inlineStr">
        <is>
          <t>Aporte Tito</t>
        </is>
      </c>
      <c r="C4" s="17" t="inlineStr">
        <is>
          <t>Sobró del mes anterior</t>
        </is>
      </c>
      <c r="D4" s="17">
        <f> Total disponible</f>
        <v/>
      </c>
      <c r="E4" s="17" t="inlineStr">
        <is>
          <t>Total gastado</t>
        </is>
      </c>
      <c r="F4" s="18" t="inlineStr">
        <is>
          <t>FALTÓ</t>
        </is>
      </c>
      <c r="G4" s="19" t="inlineStr">
        <is>
          <t>SOBRÓ (pasa →)</t>
        </is>
      </c>
    </row>
    <row r="5">
      <c r="A5" s="20" t="n">
        <v>0</v>
      </c>
      <c r="B5" s="20" t="n">
        <v>0</v>
      </c>
      <c r="C5" s="20">
        <f>'AGOSTO'!$G$5</f>
        <v/>
      </c>
      <c r="D5" s="21">
        <f>A5+B5+C5</f>
        <v/>
      </c>
      <c r="E5" s="21">
        <f>B25+D59</f>
        <v/>
      </c>
      <c r="F5" s="22">
        <f>MAX(0,E5-D5)</f>
        <v/>
      </c>
      <c r="G5" s="23">
        <f>MAX(0,D5-E5)</f>
        <v/>
      </c>
    </row>
    <row r="6"/>
    <row r="8">
      <c r="A8" s="24" t="inlineStr">
        <is>
          <t>GASTOS FIJOS   ·   monto y medio de pago</t>
        </is>
      </c>
    </row>
    <row r="9">
      <c r="A9" s="25" t="inlineStr">
        <is>
          <t>Concepto</t>
        </is>
      </c>
      <c r="B9" s="25" t="inlineStr">
        <is>
          <t>Monto</t>
        </is>
      </c>
      <c r="C9" s="25" t="inlineStr">
        <is>
          <t>Medio de pago</t>
        </is>
      </c>
    </row>
    <row r="10">
      <c r="A10" s="4" t="inlineStr">
        <is>
          <t>Expensas Núñez</t>
        </is>
      </c>
      <c r="B10" s="15" t="n"/>
      <c r="C10" s="26" t="inlineStr"/>
    </row>
    <row r="11">
      <c r="A11" s="4" t="inlineStr">
        <is>
          <t>Expensas Pilar</t>
        </is>
      </c>
      <c r="B11" s="15" t="n"/>
      <c r="C11" s="26" t="inlineStr"/>
    </row>
    <row r="12">
      <c r="A12" s="4" t="inlineStr">
        <is>
          <t>Luz Núñez</t>
        </is>
      </c>
      <c r="B12" s="15" t="n"/>
      <c r="C12" s="26" t="inlineStr"/>
    </row>
    <row r="13">
      <c r="A13" s="4" t="inlineStr">
        <is>
          <t>Luz Pilar</t>
        </is>
      </c>
      <c r="B13" s="15" t="n"/>
      <c r="C13" s="26" t="inlineStr"/>
    </row>
    <row r="14">
      <c r="A14" s="4" t="inlineStr">
        <is>
          <t>Wifi Núñez</t>
        </is>
      </c>
      <c r="B14" s="15" t="n"/>
      <c r="C14" s="26" t="inlineStr"/>
    </row>
    <row r="15">
      <c r="A15" s="4" t="inlineStr">
        <is>
          <t>Wifi Pilar</t>
        </is>
      </c>
      <c r="B15" s="15" t="n"/>
      <c r="C15" s="26" t="inlineStr"/>
    </row>
    <row r="16">
      <c r="A16" s="4" t="inlineStr">
        <is>
          <t>Paseadora Antonio</t>
        </is>
      </c>
      <c r="B16" s="15" t="n"/>
      <c r="C16" s="26" t="inlineStr"/>
    </row>
    <row r="17">
      <c r="A17" s="4" t="inlineStr">
        <is>
          <t>Limpieza Núñez</t>
        </is>
      </c>
      <c r="B17" s="15" t="n"/>
      <c r="C17" s="26" t="inlineStr"/>
    </row>
    <row r="18">
      <c r="A18" s="4" t="inlineStr">
        <is>
          <t>Limpieza Pilar</t>
        </is>
      </c>
      <c r="B18" s="15" t="n"/>
      <c r="C18" s="26" t="inlineStr"/>
    </row>
    <row r="19">
      <c r="A19" s="4" t="inlineStr">
        <is>
          <t>Netflix</t>
        </is>
      </c>
      <c r="B19" s="15" t="n"/>
      <c r="C19" s="26" t="inlineStr"/>
    </row>
    <row r="20">
      <c r="A20" s="4" t="inlineStr">
        <is>
          <t>Pilates</t>
        </is>
      </c>
      <c r="B20" s="15" t="n"/>
      <c r="C20" s="26" t="inlineStr"/>
    </row>
    <row r="21">
      <c r="A21" s="27" t="n"/>
      <c r="B21" s="15" t="n"/>
      <c r="C21" s="26" t="n"/>
    </row>
    <row r="22">
      <c r="A22" s="27" t="n"/>
      <c r="B22" s="15" t="n"/>
      <c r="C22" s="26" t="n"/>
    </row>
    <row r="23">
      <c r="A23" s="27" t="n"/>
      <c r="B23" s="15" t="n"/>
      <c r="C23" s="26" t="n"/>
    </row>
    <row r="24">
      <c r="A24" s="27" t="n"/>
      <c r="B24" s="15" t="n"/>
      <c r="C24" s="26" t="n"/>
    </row>
    <row r="25">
      <c r="A25" s="7" t="inlineStr">
        <is>
          <t>Subtotal fijos</t>
        </is>
      </c>
      <c r="B25" s="8">
        <f>SUM(B10:B24)</f>
        <v/>
      </c>
      <c r="C25" s="10" t="n"/>
    </row>
    <row r="27">
      <c r="A27" s="24" t="inlineStr">
        <is>
          <t>GASTOS AMEX / TARJETA   ·   por categoría (se acomoda solo)</t>
        </is>
      </c>
    </row>
    <row r="28">
      <c r="A28" s="25" t="inlineStr">
        <is>
          <t>Detalle / Comercio</t>
        </is>
      </c>
      <c r="B28" s="25" t="inlineStr">
        <is>
          <t>Categoría (auto)</t>
        </is>
      </c>
      <c r="C28" s="25" t="inlineStr">
        <is>
          <t>Casa</t>
        </is>
      </c>
      <c r="D28" s="25" t="inlineStr">
        <is>
          <t>Monto</t>
        </is>
      </c>
      <c r="E28" s="25" t="inlineStr">
        <is>
          <t>Medio de pago</t>
        </is>
      </c>
    </row>
    <row r="29">
      <c r="A29" s="4" t="n"/>
      <c r="B29" s="28">
        <f>IF($A29="","",IFERROR(LOOKUP(2,1/((ISNUMBER(SEARCH(CONFIG!$A$3:$A$94,$A29)))*(CONFIG!$A$3:$A$94&lt;&gt;"")),CONFIG!$B$3:$B$94),"Otros"))</f>
        <v/>
      </c>
      <c r="C29" s="26" t="n"/>
      <c r="D29" s="15" t="n"/>
      <c r="E29" s="26" t="n"/>
    </row>
    <row r="30">
      <c r="A30" s="4" t="n"/>
      <c r="B30" s="28">
        <f>IF($A30="","",IFERROR(LOOKUP(2,1/((ISNUMBER(SEARCH(CONFIG!$A$3:$A$94,$A30)))*(CONFIG!$A$3:$A$94&lt;&gt;"")),CONFIG!$B$3:$B$94),"Otros"))</f>
        <v/>
      </c>
      <c r="C30" s="26" t="n"/>
      <c r="D30" s="15" t="n"/>
      <c r="E30" s="26" t="n"/>
    </row>
    <row r="31">
      <c r="A31" s="4" t="n"/>
      <c r="B31" s="28">
        <f>IF($A31="","",IFERROR(LOOKUP(2,1/((ISNUMBER(SEARCH(CONFIG!$A$3:$A$94,$A31)))*(CONFIG!$A$3:$A$94&lt;&gt;"")),CONFIG!$B$3:$B$94),"Otros"))</f>
        <v/>
      </c>
      <c r="C31" s="26" t="n"/>
      <c r="D31" s="15" t="n"/>
      <c r="E31" s="26" t="n"/>
    </row>
    <row r="32">
      <c r="A32" s="4" t="n"/>
      <c r="B32" s="28">
        <f>IF($A32="","",IFERROR(LOOKUP(2,1/((ISNUMBER(SEARCH(CONFIG!$A$3:$A$94,$A32)))*(CONFIG!$A$3:$A$94&lt;&gt;"")),CONFIG!$B$3:$B$94),"Otros"))</f>
        <v/>
      </c>
      <c r="C32" s="26" t="n"/>
      <c r="D32" s="15" t="n"/>
      <c r="E32" s="26" t="n"/>
    </row>
    <row r="33">
      <c r="A33" s="4" t="n"/>
      <c r="B33" s="28">
        <f>IF($A33="","",IFERROR(LOOKUP(2,1/((ISNUMBER(SEARCH(CONFIG!$A$3:$A$94,$A33)))*(CONFIG!$A$3:$A$94&lt;&gt;"")),CONFIG!$B$3:$B$94),"Otros"))</f>
        <v/>
      </c>
      <c r="C33" s="26" t="n"/>
      <c r="D33" s="15" t="n"/>
      <c r="E33" s="26" t="n"/>
    </row>
    <row r="34">
      <c r="A34" s="4" t="n"/>
      <c r="B34" s="28">
        <f>IF($A34="","",IFERROR(LOOKUP(2,1/((ISNUMBER(SEARCH(CONFIG!$A$3:$A$94,$A34)))*(CONFIG!$A$3:$A$94&lt;&gt;"")),CONFIG!$B$3:$B$94),"Otros"))</f>
        <v/>
      </c>
      <c r="C34" s="26" t="n"/>
      <c r="D34" s="15" t="n"/>
      <c r="E34" s="26" t="n"/>
    </row>
    <row r="35">
      <c r="A35" s="4" t="n"/>
      <c r="B35" s="28">
        <f>IF($A35="","",IFERROR(LOOKUP(2,1/((ISNUMBER(SEARCH(CONFIG!$A$3:$A$94,$A35)))*(CONFIG!$A$3:$A$94&lt;&gt;"")),CONFIG!$B$3:$B$94),"Otros"))</f>
        <v/>
      </c>
      <c r="C35" s="26" t="n"/>
      <c r="D35" s="15" t="n"/>
      <c r="E35" s="26" t="n"/>
    </row>
    <row r="36">
      <c r="A36" s="4" t="n"/>
      <c r="B36" s="28">
        <f>IF($A36="","",IFERROR(LOOKUP(2,1/((ISNUMBER(SEARCH(CONFIG!$A$3:$A$94,$A36)))*(CONFIG!$A$3:$A$94&lt;&gt;"")),CONFIG!$B$3:$B$94),"Otros"))</f>
        <v/>
      </c>
      <c r="C36" s="26" t="n"/>
      <c r="D36" s="15" t="n"/>
      <c r="E36" s="26" t="n"/>
    </row>
    <row r="37">
      <c r="A37" s="4" t="n"/>
      <c r="B37" s="28">
        <f>IF($A37="","",IFERROR(LOOKUP(2,1/((ISNUMBER(SEARCH(CONFIG!$A$3:$A$94,$A37)))*(CONFIG!$A$3:$A$94&lt;&gt;"")),CONFIG!$B$3:$B$94),"Otros"))</f>
        <v/>
      </c>
      <c r="C37" s="26" t="n"/>
      <c r="D37" s="15" t="n"/>
      <c r="E37" s="26" t="n"/>
    </row>
    <row r="38">
      <c r="A38" s="4" t="n"/>
      <c r="B38" s="28">
        <f>IF($A38="","",IFERROR(LOOKUP(2,1/((ISNUMBER(SEARCH(CONFIG!$A$3:$A$94,$A38)))*(CONFIG!$A$3:$A$94&lt;&gt;"")),CONFIG!$B$3:$B$94),"Otros"))</f>
        <v/>
      </c>
      <c r="C38" s="26" t="n"/>
      <c r="D38" s="15" t="n"/>
      <c r="E38" s="26" t="n"/>
    </row>
    <row r="39">
      <c r="A39" s="4" t="n"/>
      <c r="B39" s="28">
        <f>IF($A39="","",IFERROR(LOOKUP(2,1/((ISNUMBER(SEARCH(CONFIG!$A$3:$A$94,$A39)))*(CONFIG!$A$3:$A$94&lt;&gt;"")),CONFIG!$B$3:$B$94),"Otros"))</f>
        <v/>
      </c>
      <c r="C39" s="26" t="n"/>
      <c r="D39" s="15" t="n"/>
      <c r="E39" s="26" t="n"/>
    </row>
    <row r="40">
      <c r="A40" s="4" t="n"/>
      <c r="B40" s="28">
        <f>IF($A40="","",IFERROR(LOOKUP(2,1/((ISNUMBER(SEARCH(CONFIG!$A$3:$A$94,$A40)))*(CONFIG!$A$3:$A$94&lt;&gt;"")),CONFIG!$B$3:$B$94),"Otros"))</f>
        <v/>
      </c>
      <c r="C40" s="26" t="n"/>
      <c r="D40" s="15" t="n"/>
      <c r="E40" s="26" t="n"/>
    </row>
    <row r="41">
      <c r="A41" s="4" t="n"/>
      <c r="B41" s="28">
        <f>IF($A41="","",IFERROR(LOOKUP(2,1/((ISNUMBER(SEARCH(CONFIG!$A$3:$A$94,$A41)))*(CONFIG!$A$3:$A$94&lt;&gt;"")),CONFIG!$B$3:$B$94),"Otros"))</f>
        <v/>
      </c>
      <c r="C41" s="26" t="n"/>
      <c r="D41" s="15" t="n"/>
      <c r="E41" s="26" t="n"/>
    </row>
    <row r="42">
      <c r="A42" s="4" t="n"/>
      <c r="B42" s="28">
        <f>IF($A42="","",IFERROR(LOOKUP(2,1/((ISNUMBER(SEARCH(CONFIG!$A$3:$A$94,$A42)))*(CONFIG!$A$3:$A$94&lt;&gt;"")),CONFIG!$B$3:$B$94),"Otros"))</f>
        <v/>
      </c>
      <c r="C42" s="26" t="n"/>
      <c r="D42" s="15" t="n"/>
      <c r="E42" s="26" t="n"/>
    </row>
    <row r="43">
      <c r="A43" s="4" t="n"/>
      <c r="B43" s="28">
        <f>IF($A43="","",IFERROR(LOOKUP(2,1/((ISNUMBER(SEARCH(CONFIG!$A$3:$A$94,$A43)))*(CONFIG!$A$3:$A$94&lt;&gt;"")),CONFIG!$B$3:$B$94),"Otros"))</f>
        <v/>
      </c>
      <c r="C43" s="26" t="n"/>
      <c r="D43" s="15" t="n"/>
      <c r="E43" s="26" t="n"/>
    </row>
    <row r="44">
      <c r="A44" s="4" t="n"/>
      <c r="B44" s="28">
        <f>IF($A44="","",IFERROR(LOOKUP(2,1/((ISNUMBER(SEARCH(CONFIG!$A$3:$A$94,$A44)))*(CONFIG!$A$3:$A$94&lt;&gt;"")),CONFIG!$B$3:$B$94),"Otros"))</f>
        <v/>
      </c>
      <c r="C44" s="26" t="n"/>
      <c r="D44" s="15" t="n"/>
      <c r="E44" s="26" t="n"/>
    </row>
    <row r="45">
      <c r="A45" s="4" t="n"/>
      <c r="B45" s="28">
        <f>IF($A45="","",IFERROR(LOOKUP(2,1/((ISNUMBER(SEARCH(CONFIG!$A$3:$A$94,$A45)))*(CONFIG!$A$3:$A$94&lt;&gt;"")),CONFIG!$B$3:$B$94),"Otros"))</f>
        <v/>
      </c>
      <c r="C45" s="26" t="n"/>
      <c r="D45" s="15" t="n"/>
      <c r="E45" s="26" t="n"/>
    </row>
    <row r="46">
      <c r="A46" s="4" t="n"/>
      <c r="B46" s="28">
        <f>IF($A46="","",IFERROR(LOOKUP(2,1/((ISNUMBER(SEARCH(CONFIG!$A$3:$A$94,$A46)))*(CONFIG!$A$3:$A$94&lt;&gt;"")),CONFIG!$B$3:$B$94),"Otros"))</f>
        <v/>
      </c>
      <c r="C46" s="26" t="n"/>
      <c r="D46" s="15" t="n"/>
      <c r="E46" s="26" t="n"/>
    </row>
    <row r="47">
      <c r="A47" s="4" t="n"/>
      <c r="B47" s="28">
        <f>IF($A47="","",IFERROR(LOOKUP(2,1/((ISNUMBER(SEARCH(CONFIG!$A$3:$A$94,$A47)))*(CONFIG!$A$3:$A$94&lt;&gt;"")),CONFIG!$B$3:$B$94),"Otros"))</f>
        <v/>
      </c>
      <c r="C47" s="26" t="n"/>
      <c r="D47" s="15" t="n"/>
      <c r="E47" s="26" t="n"/>
    </row>
    <row r="48">
      <c r="A48" s="4" t="n"/>
      <c r="B48" s="28">
        <f>IF($A48="","",IFERROR(LOOKUP(2,1/((ISNUMBER(SEARCH(CONFIG!$A$3:$A$94,$A48)))*(CONFIG!$A$3:$A$94&lt;&gt;"")),CONFIG!$B$3:$B$94),"Otros"))</f>
        <v/>
      </c>
      <c r="C48" s="26" t="n"/>
      <c r="D48" s="15" t="n"/>
      <c r="E48" s="26" t="n"/>
    </row>
    <row r="49">
      <c r="A49" s="4" t="n"/>
      <c r="B49" s="28">
        <f>IF($A49="","",IFERROR(LOOKUP(2,1/((ISNUMBER(SEARCH(CONFIG!$A$3:$A$94,$A49)))*(CONFIG!$A$3:$A$94&lt;&gt;"")),CONFIG!$B$3:$B$94),"Otros"))</f>
        <v/>
      </c>
      <c r="C49" s="26" t="n"/>
      <c r="D49" s="15" t="n"/>
      <c r="E49" s="26" t="n"/>
    </row>
    <row r="50">
      <c r="A50" s="4" t="n"/>
      <c r="B50" s="28">
        <f>IF($A50="","",IFERROR(LOOKUP(2,1/((ISNUMBER(SEARCH(CONFIG!$A$3:$A$94,$A50)))*(CONFIG!$A$3:$A$94&lt;&gt;"")),CONFIG!$B$3:$B$94),"Otros"))</f>
        <v/>
      </c>
      <c r="C50" s="26" t="n"/>
      <c r="D50" s="15" t="n"/>
      <c r="E50" s="26" t="n"/>
    </row>
    <row r="51">
      <c r="A51" s="4" t="n"/>
      <c r="B51" s="28">
        <f>IF($A51="","",IFERROR(LOOKUP(2,1/((ISNUMBER(SEARCH(CONFIG!$A$3:$A$94,$A51)))*(CONFIG!$A$3:$A$94&lt;&gt;"")),CONFIG!$B$3:$B$94),"Otros"))</f>
        <v/>
      </c>
      <c r="C51" s="26" t="n"/>
      <c r="D51" s="15" t="n"/>
      <c r="E51" s="26" t="n"/>
    </row>
    <row r="52">
      <c r="A52" s="4" t="n"/>
      <c r="B52" s="28">
        <f>IF($A52="","",IFERROR(LOOKUP(2,1/((ISNUMBER(SEARCH(CONFIG!$A$3:$A$94,$A52)))*(CONFIG!$A$3:$A$94&lt;&gt;"")),CONFIG!$B$3:$B$94),"Otros"))</f>
        <v/>
      </c>
      <c r="C52" s="26" t="n"/>
      <c r="D52" s="15" t="n"/>
      <c r="E52" s="26" t="n"/>
    </row>
    <row r="53">
      <c r="A53" s="4" t="n"/>
      <c r="B53" s="28">
        <f>IF($A53="","",IFERROR(LOOKUP(2,1/((ISNUMBER(SEARCH(CONFIG!$A$3:$A$94,$A53)))*(CONFIG!$A$3:$A$94&lt;&gt;"")),CONFIG!$B$3:$B$94),"Otros"))</f>
        <v/>
      </c>
      <c r="C53" s="26" t="n"/>
      <c r="D53" s="15" t="n"/>
      <c r="E53" s="26" t="n"/>
    </row>
    <row r="54">
      <c r="A54" s="4" t="n"/>
      <c r="B54" s="28">
        <f>IF($A54="","",IFERROR(LOOKUP(2,1/((ISNUMBER(SEARCH(CONFIG!$A$3:$A$94,$A54)))*(CONFIG!$A$3:$A$94&lt;&gt;"")),CONFIG!$B$3:$B$94),"Otros"))</f>
        <v/>
      </c>
      <c r="C54" s="26" t="n"/>
      <c r="D54" s="15" t="n"/>
      <c r="E54" s="26" t="n"/>
    </row>
    <row r="55">
      <c r="A55" s="4" t="n"/>
      <c r="B55" s="28">
        <f>IF($A55="","",IFERROR(LOOKUP(2,1/((ISNUMBER(SEARCH(CONFIG!$A$3:$A$94,$A55)))*(CONFIG!$A$3:$A$94&lt;&gt;"")),CONFIG!$B$3:$B$94),"Otros"))</f>
        <v/>
      </c>
      <c r="C55" s="26" t="n"/>
      <c r="D55" s="15" t="n"/>
      <c r="E55" s="26" t="n"/>
    </row>
    <row r="56">
      <c r="A56" s="4" t="n"/>
      <c r="B56" s="28">
        <f>IF($A56="","",IFERROR(LOOKUP(2,1/((ISNUMBER(SEARCH(CONFIG!$A$3:$A$94,$A56)))*(CONFIG!$A$3:$A$94&lt;&gt;"")),CONFIG!$B$3:$B$94),"Otros"))</f>
        <v/>
      </c>
      <c r="C56" s="26" t="n"/>
      <c r="D56" s="15" t="n"/>
      <c r="E56" s="26" t="n"/>
    </row>
    <row r="57">
      <c r="A57" s="4" t="n"/>
      <c r="B57" s="28">
        <f>IF($A57="","",IFERROR(LOOKUP(2,1/((ISNUMBER(SEARCH(CONFIG!$A$3:$A$94,$A57)))*(CONFIG!$A$3:$A$94&lt;&gt;"")),CONFIG!$B$3:$B$94),"Otros"))</f>
        <v/>
      </c>
      <c r="C57" s="26" t="n"/>
      <c r="D57" s="15" t="n"/>
      <c r="E57" s="26" t="n"/>
    </row>
    <row r="58">
      <c r="A58" s="4" t="n"/>
      <c r="B58" s="28">
        <f>IF($A58="","",IFERROR(LOOKUP(2,1/((ISNUMBER(SEARCH(CONFIG!$A$3:$A$94,$A58)))*(CONFIG!$A$3:$A$94&lt;&gt;"")),CONFIG!$B$3:$B$94),"Otros"))</f>
        <v/>
      </c>
      <c r="C58" s="26" t="n"/>
      <c r="D58" s="15" t="n"/>
      <c r="E58" s="26" t="n"/>
    </row>
    <row r="59">
      <c r="A59" s="7" t="inlineStr">
        <is>
          <t>Subtotal AMEX / tarjeta</t>
        </is>
      </c>
      <c r="B59" s="10" t="n"/>
      <c r="C59" s="10" t="n"/>
      <c r="D59" s="8">
        <f>SUM(D29:D58)</f>
        <v/>
      </c>
      <c r="E59" s="10" t="n"/>
    </row>
    <row r="60" ht="28" customHeight="1">
      <c r="A60" s="16" t="inlineStr">
        <is>
          <t>➤ Pegá acá el resumen de la AMEX (Detalle + Monto). La categoría se completa sola según el mapa de la hoja CONFIG. No hace falta crear otro archivo.</t>
        </is>
      </c>
    </row>
    <row r="62">
      <c r="A62" s="29" t="inlineStr">
        <is>
          <t>RESUMEN · EN QUÉ SE GASTÓ MÁS</t>
        </is>
      </c>
    </row>
    <row r="63">
      <c r="A63" s="7" t="inlineStr">
        <is>
          <t>Por sección</t>
        </is>
      </c>
      <c r="B63" s="7" t="inlineStr">
        <is>
          <t>Monto</t>
        </is>
      </c>
      <c r="C63" s="30" t="inlineStr">
        <is>
          <t>% del total</t>
        </is>
      </c>
    </row>
    <row r="64">
      <c r="A64" s="4" t="inlineStr">
        <is>
          <t>Gastos fijos</t>
        </is>
      </c>
      <c r="B64" s="31">
        <f>$B$25</f>
        <v/>
      </c>
      <c r="C64" s="6">
        <f>IF(($B$25+$D$59)=0,0,($B$25)/($B$25+$D$59))</f>
        <v/>
      </c>
    </row>
    <row r="65">
      <c r="A65" s="4" t="inlineStr">
        <is>
          <t>Gastos AMEX / tarjeta</t>
        </is>
      </c>
      <c r="B65" s="31">
        <f>$D$59</f>
        <v/>
      </c>
      <c r="C65" s="6">
        <f>IF(($B$25+$D$59)=0,0,($D$59)/($B$25+$D$59))</f>
        <v/>
      </c>
    </row>
    <row r="66">
      <c r="A66" s="32" t="inlineStr">
        <is>
          <t>TOTAL</t>
        </is>
      </c>
      <c r="B66" s="33">
        <f>$B$25+$D$59</f>
        <v/>
      </c>
      <c r="C66" s="34">
        <f>IF(($B$25+$D$59)=0,0,1)</f>
        <v/>
      </c>
    </row>
    <row r="68">
      <c r="A68" s="7" t="inlineStr">
        <is>
          <t>Por categoría (AMEX / tarjeta)</t>
        </is>
      </c>
      <c r="B68" s="30" t="inlineStr">
        <is>
          <t>Monto</t>
        </is>
      </c>
      <c r="C68" s="30" t="inlineStr">
        <is>
          <t>% AMEX</t>
        </is>
      </c>
    </row>
    <row r="69">
      <c r="A69" s="4" t="inlineStr">
        <is>
          <t>Supermercado</t>
        </is>
      </c>
      <c r="B69" s="35">
        <f>SUMIF($B$29:$B$58,A69,$D$29:$D$58)</f>
        <v/>
      </c>
      <c r="C69" s="6">
        <f>IF($D$59=0,0,B69/$D$59)</f>
        <v/>
      </c>
    </row>
    <row r="70">
      <c r="A70" s="4" t="inlineStr">
        <is>
          <t>Verdulería</t>
        </is>
      </c>
      <c r="B70" s="35">
        <f>SUMIF($B$29:$B$58,A70,$D$29:$D$58)</f>
        <v/>
      </c>
      <c r="C70" s="6">
        <f>IF($D$59=0,0,B70/$D$59)</f>
        <v/>
      </c>
    </row>
    <row r="71">
      <c r="A71" s="4" t="inlineStr">
        <is>
          <t>Delivery</t>
        </is>
      </c>
      <c r="B71" s="35">
        <f>SUMIF($B$29:$B$58,A71,$D$29:$D$58)</f>
        <v/>
      </c>
      <c r="C71" s="6">
        <f>IF($D$59=0,0,B71/$D$59)</f>
        <v/>
      </c>
    </row>
    <row r="72">
      <c r="A72" s="4" t="inlineStr">
        <is>
          <t>Cafecito</t>
        </is>
      </c>
      <c r="B72" s="35">
        <f>SUMIF($B$29:$B$58,A72,$D$29:$D$58)</f>
        <v/>
      </c>
      <c r="C72" s="6">
        <f>IF($D$59=0,0,B72/$D$59)</f>
        <v/>
      </c>
    </row>
    <row r="73">
      <c r="A73" s="4" t="inlineStr">
        <is>
          <t>Restaurant</t>
        </is>
      </c>
      <c r="B73" s="35">
        <f>SUMIF($B$29:$B$58,A73,$D$29:$D$58)</f>
        <v/>
      </c>
      <c r="C73" s="6">
        <f>IF($D$59=0,0,B73/$D$59)</f>
        <v/>
      </c>
    </row>
    <row r="74">
      <c r="A74" s="4" t="inlineStr">
        <is>
          <t>Salida</t>
        </is>
      </c>
      <c r="B74" s="35">
        <f>SUMIF($B$29:$B$58,A74,$D$29:$D$58)</f>
        <v/>
      </c>
      <c r="C74" s="6">
        <f>IF($D$59=0,0,B74/$D$59)</f>
        <v/>
      </c>
    </row>
    <row r="75">
      <c r="A75" s="4" t="inlineStr">
        <is>
          <t>Nafta</t>
        </is>
      </c>
      <c r="B75" s="35">
        <f>SUMIF($B$29:$B$58,A75,$D$29:$D$58)</f>
        <v/>
      </c>
      <c r="C75" s="6">
        <f>IF($D$59=0,0,B75/$D$59)</f>
        <v/>
      </c>
    </row>
    <row r="76">
      <c r="A76" s="4" t="inlineStr">
        <is>
          <t>Transporte</t>
        </is>
      </c>
      <c r="B76" s="35">
        <f>SUMIF($B$29:$B$58,A76,$D$29:$D$58)</f>
        <v/>
      </c>
      <c r="C76" s="6">
        <f>IF($D$59=0,0,B76/$D$59)</f>
        <v/>
      </c>
    </row>
    <row r="77">
      <c r="A77" s="4" t="inlineStr">
        <is>
          <t>Veterinaria</t>
        </is>
      </c>
      <c r="B77" s="35">
        <f>SUMIF($B$29:$B$58,A77,$D$29:$D$58)</f>
        <v/>
      </c>
      <c r="C77" s="6">
        <f>IF($D$59=0,0,B77/$D$59)</f>
        <v/>
      </c>
    </row>
    <row r="78">
      <c r="A78" s="4" t="inlineStr">
        <is>
          <t>Farmacia</t>
        </is>
      </c>
      <c r="B78" s="35">
        <f>SUMIF($B$29:$B$58,A78,$D$29:$D$58)</f>
        <v/>
      </c>
      <c r="C78" s="6">
        <f>IF($D$59=0,0,B78/$D$59)</f>
        <v/>
      </c>
    </row>
    <row r="79">
      <c r="A79" s="4" t="inlineStr">
        <is>
          <t>Viaje</t>
        </is>
      </c>
      <c r="B79" s="35">
        <f>SUMIF($B$29:$B$58,A79,$D$29:$D$58)</f>
        <v/>
      </c>
      <c r="C79" s="6">
        <f>IF($D$59=0,0,B79/$D$59)</f>
        <v/>
      </c>
    </row>
    <row r="80">
      <c r="A80" s="4" t="inlineStr">
        <is>
          <t>Trámites</t>
        </is>
      </c>
      <c r="B80" s="35">
        <f>SUMIF($B$29:$B$58,A80,$D$29:$D$58)</f>
        <v/>
      </c>
      <c r="C80" s="6">
        <f>IF($D$59=0,0,B80/$D$59)</f>
        <v/>
      </c>
    </row>
    <row r="81">
      <c r="A81" s="4" t="inlineStr">
        <is>
          <t>Otros</t>
        </is>
      </c>
      <c r="B81" s="35">
        <f>SUMIF($B$29:$B$58,A81,$D$29:$D$58)</f>
        <v/>
      </c>
      <c r="C81" s="6">
        <f>IF($D$59=0,0,B81/$D$59)</f>
        <v/>
      </c>
    </row>
    <row r="82">
      <c r="A82" s="36" t="inlineStr">
        <is>
          <t>Top categoría</t>
        </is>
      </c>
      <c r="B82" s="37">
        <f>IFERROR(INDEX(A69:A81,MATCH(MAX(B69:B81),B69:B81,0)),"-")</f>
        <v/>
      </c>
      <c r="C82" s="38">
        <f>MAX(B69:B81)</f>
        <v/>
      </c>
    </row>
    <row r="84">
      <c r="A84" s="39" t="inlineStr">
        <is>
          <t>SUGERIDO PARA EL MES SIGUIENTE  ·  según lo gastado este mes</t>
        </is>
      </c>
    </row>
    <row r="85">
      <c r="A85" s="40" t="inlineStr">
        <is>
          <t>Base (gasto del mes)</t>
        </is>
      </c>
      <c r="B85" s="40" t="inlineStr">
        <is>
          <t>% Loli</t>
        </is>
      </c>
      <c r="C85" s="40" t="inlineStr">
        <is>
          <t>% Tito</t>
        </is>
      </c>
      <c r="D85" s="40" t="inlineStr">
        <is>
          <t>Sugerido Loli</t>
        </is>
      </c>
      <c r="E85" s="40" t="inlineStr">
        <is>
          <t>Sugerido Tito</t>
        </is>
      </c>
    </row>
    <row r="86">
      <c r="A86" s="41">
        <f>$B$25+$D$59</f>
        <v/>
      </c>
      <c r="B86" s="42">
        <f>PCT_LOLI</f>
        <v/>
      </c>
      <c r="C86" s="42">
        <f>PCT_TITO</f>
        <v/>
      </c>
      <c r="D86" s="43">
        <f>A86*B86</f>
        <v/>
      </c>
      <c r="E86" s="43">
        <f>A86*C86</f>
        <v/>
      </c>
    </row>
    <row r="87" ht="26" customHeight="1">
      <c r="A87" s="16" t="inlineStr">
        <is>
          <t>Idea: para no quedar cortos, cada uno aporta aprox. lo que le tocó este mes según el split 40/60. Si querés margen, subí un 10-15%.</t>
        </is>
      </c>
    </row>
  </sheetData>
  <mergeCells count="8">
    <mergeCell ref="A84:G84"/>
    <mergeCell ref="A1:G1"/>
    <mergeCell ref="A27:G27"/>
    <mergeCell ref="A8:G8"/>
    <mergeCell ref="A3:G3"/>
    <mergeCell ref="A87:G87"/>
    <mergeCell ref="A62:G62"/>
    <mergeCell ref="A60:G60"/>
  </mergeCells>
  <dataValidations count="2">
    <dataValidation sqref="C10:C24 E29:E58" showDropDown="0" showInputMessage="0" showErrorMessage="0" allowBlank="1" type="list">
      <formula1>"AMEX Loli,AMEX Tito,Transferencia,Efectivo"</formula1>
    </dataValidation>
    <dataValidation sqref="C29:C58" showDropDown="0" showInputMessage="0" showErrorMessage="0" allowBlank="1" type="list">
      <formula1>"Núñez,Pilar,Ambos"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87"/>
  <sheetViews>
    <sheetView showGridLines="0" workbookViewId="0">
      <selection activeCell="A1" sqref="A1"/>
    </sheetView>
  </sheetViews>
  <sheetFormatPr baseColWidth="8" defaultRowHeight="15"/>
  <cols>
    <col width="30" customWidth="1" min="1" max="1"/>
    <col width="14" customWidth="1" min="2" max="2"/>
    <col width="12" customWidth="1" min="3" max="3"/>
    <col width="14" customWidth="1" min="4" max="4"/>
    <col width="16" customWidth="1" min="5" max="5"/>
    <col width="14" customWidth="1" min="6" max="6"/>
    <col width="14" customWidth="1" min="7" max="7"/>
  </cols>
  <sheetData>
    <row r="1" ht="30" customHeight="1">
      <c r="A1" s="1" t="inlineStr">
        <is>
          <t>OCTUBRE 2026</t>
        </is>
      </c>
    </row>
    <row r="3">
      <c r="A3" s="2" t="inlineStr">
        <is>
          <t>CONTROL DEL MES</t>
        </is>
      </c>
    </row>
    <row r="4" ht="26" customHeight="1">
      <c r="A4" s="17" t="inlineStr">
        <is>
          <t>Aporte Loli</t>
        </is>
      </c>
      <c r="B4" s="17" t="inlineStr">
        <is>
          <t>Aporte Tito</t>
        </is>
      </c>
      <c r="C4" s="17" t="inlineStr">
        <is>
          <t>Sobró del mes anterior</t>
        </is>
      </c>
      <c r="D4" s="17">
        <f> Total disponible</f>
        <v/>
      </c>
      <c r="E4" s="17" t="inlineStr">
        <is>
          <t>Total gastado</t>
        </is>
      </c>
      <c r="F4" s="18" t="inlineStr">
        <is>
          <t>FALTÓ</t>
        </is>
      </c>
      <c r="G4" s="19" t="inlineStr">
        <is>
          <t>SOBRÓ (pasa →)</t>
        </is>
      </c>
    </row>
    <row r="5">
      <c r="A5" s="20" t="n">
        <v>0</v>
      </c>
      <c r="B5" s="20" t="n">
        <v>0</v>
      </c>
      <c r="C5" s="20">
        <f>'SEPTIEMBRE'!$G$5</f>
        <v/>
      </c>
      <c r="D5" s="21">
        <f>A5+B5+C5</f>
        <v/>
      </c>
      <c r="E5" s="21">
        <f>B25+D59</f>
        <v/>
      </c>
      <c r="F5" s="22">
        <f>MAX(0,E5-D5)</f>
        <v/>
      </c>
      <c r="G5" s="23">
        <f>MAX(0,D5-E5)</f>
        <v/>
      </c>
    </row>
    <row r="6"/>
    <row r="8">
      <c r="A8" s="24" t="inlineStr">
        <is>
          <t>GASTOS FIJOS   ·   monto y medio de pago</t>
        </is>
      </c>
    </row>
    <row r="9">
      <c r="A9" s="25" t="inlineStr">
        <is>
          <t>Concepto</t>
        </is>
      </c>
      <c r="B9" s="25" t="inlineStr">
        <is>
          <t>Monto</t>
        </is>
      </c>
      <c r="C9" s="25" t="inlineStr">
        <is>
          <t>Medio de pago</t>
        </is>
      </c>
    </row>
    <row r="10">
      <c r="A10" s="4" t="inlineStr">
        <is>
          <t>Expensas Núñez</t>
        </is>
      </c>
      <c r="B10" s="15" t="n"/>
      <c r="C10" s="26" t="inlineStr"/>
    </row>
    <row r="11">
      <c r="A11" s="4" t="inlineStr">
        <is>
          <t>Expensas Pilar</t>
        </is>
      </c>
      <c r="B11" s="15" t="n"/>
      <c r="C11" s="26" t="inlineStr"/>
    </row>
    <row r="12">
      <c r="A12" s="4" t="inlineStr">
        <is>
          <t>Luz Núñez</t>
        </is>
      </c>
      <c r="B12" s="15" t="n"/>
      <c r="C12" s="26" t="inlineStr"/>
    </row>
    <row r="13">
      <c r="A13" s="4" t="inlineStr">
        <is>
          <t>Luz Pilar</t>
        </is>
      </c>
      <c r="B13" s="15" t="n"/>
      <c r="C13" s="26" t="inlineStr"/>
    </row>
    <row r="14">
      <c r="A14" s="4" t="inlineStr">
        <is>
          <t>Wifi Núñez</t>
        </is>
      </c>
      <c r="B14" s="15" t="n"/>
      <c r="C14" s="26" t="inlineStr"/>
    </row>
    <row r="15">
      <c r="A15" s="4" t="inlineStr">
        <is>
          <t>Wifi Pilar</t>
        </is>
      </c>
      <c r="B15" s="15" t="n"/>
      <c r="C15" s="26" t="inlineStr"/>
    </row>
    <row r="16">
      <c r="A16" s="4" t="inlineStr">
        <is>
          <t>Paseadora Antonio</t>
        </is>
      </c>
      <c r="B16" s="15" t="n"/>
      <c r="C16" s="26" t="inlineStr"/>
    </row>
    <row r="17">
      <c r="A17" s="4" t="inlineStr">
        <is>
          <t>Limpieza Núñez</t>
        </is>
      </c>
      <c r="B17" s="15" t="n"/>
      <c r="C17" s="26" t="inlineStr"/>
    </row>
    <row r="18">
      <c r="A18" s="4" t="inlineStr">
        <is>
          <t>Limpieza Pilar</t>
        </is>
      </c>
      <c r="B18" s="15" t="n"/>
      <c r="C18" s="26" t="inlineStr"/>
    </row>
    <row r="19">
      <c r="A19" s="4" t="inlineStr">
        <is>
          <t>Netflix</t>
        </is>
      </c>
      <c r="B19" s="15" t="n"/>
      <c r="C19" s="26" t="inlineStr"/>
    </row>
    <row r="20">
      <c r="A20" s="4" t="inlineStr">
        <is>
          <t>Pilates</t>
        </is>
      </c>
      <c r="B20" s="15" t="n"/>
      <c r="C20" s="26" t="inlineStr"/>
    </row>
    <row r="21">
      <c r="A21" s="27" t="n"/>
      <c r="B21" s="15" t="n"/>
      <c r="C21" s="26" t="n"/>
    </row>
    <row r="22">
      <c r="A22" s="27" t="n"/>
      <c r="B22" s="15" t="n"/>
      <c r="C22" s="26" t="n"/>
    </row>
    <row r="23">
      <c r="A23" s="27" t="n"/>
      <c r="B23" s="15" t="n"/>
      <c r="C23" s="26" t="n"/>
    </row>
    <row r="24">
      <c r="A24" s="27" t="n"/>
      <c r="B24" s="15" t="n"/>
      <c r="C24" s="26" t="n"/>
    </row>
    <row r="25">
      <c r="A25" s="7" t="inlineStr">
        <is>
          <t>Subtotal fijos</t>
        </is>
      </c>
      <c r="B25" s="8">
        <f>SUM(B10:B24)</f>
        <v/>
      </c>
      <c r="C25" s="10" t="n"/>
    </row>
    <row r="27">
      <c r="A27" s="24" t="inlineStr">
        <is>
          <t>GASTOS AMEX / TARJETA   ·   por categoría (se acomoda solo)</t>
        </is>
      </c>
    </row>
    <row r="28">
      <c r="A28" s="25" t="inlineStr">
        <is>
          <t>Detalle / Comercio</t>
        </is>
      </c>
      <c r="B28" s="25" t="inlineStr">
        <is>
          <t>Categoría (auto)</t>
        </is>
      </c>
      <c r="C28" s="25" t="inlineStr">
        <is>
          <t>Casa</t>
        </is>
      </c>
      <c r="D28" s="25" t="inlineStr">
        <is>
          <t>Monto</t>
        </is>
      </c>
      <c r="E28" s="25" t="inlineStr">
        <is>
          <t>Medio de pago</t>
        </is>
      </c>
    </row>
    <row r="29">
      <c r="A29" s="4" t="n"/>
      <c r="B29" s="28">
        <f>IF($A29="","",IFERROR(LOOKUP(2,1/((ISNUMBER(SEARCH(CONFIG!$A$3:$A$94,$A29)))*(CONFIG!$A$3:$A$94&lt;&gt;"")),CONFIG!$B$3:$B$94),"Otros"))</f>
        <v/>
      </c>
      <c r="C29" s="26" t="n"/>
      <c r="D29" s="15" t="n"/>
      <c r="E29" s="26" t="n"/>
    </row>
    <row r="30">
      <c r="A30" s="4" t="n"/>
      <c r="B30" s="28">
        <f>IF($A30="","",IFERROR(LOOKUP(2,1/((ISNUMBER(SEARCH(CONFIG!$A$3:$A$94,$A30)))*(CONFIG!$A$3:$A$94&lt;&gt;"")),CONFIG!$B$3:$B$94),"Otros"))</f>
        <v/>
      </c>
      <c r="C30" s="26" t="n"/>
      <c r="D30" s="15" t="n"/>
      <c r="E30" s="26" t="n"/>
    </row>
    <row r="31">
      <c r="A31" s="4" t="n"/>
      <c r="B31" s="28">
        <f>IF($A31="","",IFERROR(LOOKUP(2,1/((ISNUMBER(SEARCH(CONFIG!$A$3:$A$94,$A31)))*(CONFIG!$A$3:$A$94&lt;&gt;"")),CONFIG!$B$3:$B$94),"Otros"))</f>
        <v/>
      </c>
      <c r="C31" s="26" t="n"/>
      <c r="D31" s="15" t="n"/>
      <c r="E31" s="26" t="n"/>
    </row>
    <row r="32">
      <c r="A32" s="4" t="n"/>
      <c r="B32" s="28">
        <f>IF($A32="","",IFERROR(LOOKUP(2,1/((ISNUMBER(SEARCH(CONFIG!$A$3:$A$94,$A32)))*(CONFIG!$A$3:$A$94&lt;&gt;"")),CONFIG!$B$3:$B$94),"Otros"))</f>
        <v/>
      </c>
      <c r="C32" s="26" t="n"/>
      <c r="D32" s="15" t="n"/>
      <c r="E32" s="26" t="n"/>
    </row>
    <row r="33">
      <c r="A33" s="4" t="n"/>
      <c r="B33" s="28">
        <f>IF($A33="","",IFERROR(LOOKUP(2,1/((ISNUMBER(SEARCH(CONFIG!$A$3:$A$94,$A33)))*(CONFIG!$A$3:$A$94&lt;&gt;"")),CONFIG!$B$3:$B$94),"Otros"))</f>
        <v/>
      </c>
      <c r="C33" s="26" t="n"/>
      <c r="D33" s="15" t="n"/>
      <c r="E33" s="26" t="n"/>
    </row>
    <row r="34">
      <c r="A34" s="4" t="n"/>
      <c r="B34" s="28">
        <f>IF($A34="","",IFERROR(LOOKUP(2,1/((ISNUMBER(SEARCH(CONFIG!$A$3:$A$94,$A34)))*(CONFIG!$A$3:$A$94&lt;&gt;"")),CONFIG!$B$3:$B$94),"Otros"))</f>
        <v/>
      </c>
      <c r="C34" s="26" t="n"/>
      <c r="D34" s="15" t="n"/>
      <c r="E34" s="26" t="n"/>
    </row>
    <row r="35">
      <c r="A35" s="4" t="n"/>
      <c r="B35" s="28">
        <f>IF($A35="","",IFERROR(LOOKUP(2,1/((ISNUMBER(SEARCH(CONFIG!$A$3:$A$94,$A35)))*(CONFIG!$A$3:$A$94&lt;&gt;"")),CONFIG!$B$3:$B$94),"Otros"))</f>
        <v/>
      </c>
      <c r="C35" s="26" t="n"/>
      <c r="D35" s="15" t="n"/>
      <c r="E35" s="26" t="n"/>
    </row>
    <row r="36">
      <c r="A36" s="4" t="n"/>
      <c r="B36" s="28">
        <f>IF($A36="","",IFERROR(LOOKUP(2,1/((ISNUMBER(SEARCH(CONFIG!$A$3:$A$94,$A36)))*(CONFIG!$A$3:$A$94&lt;&gt;"")),CONFIG!$B$3:$B$94),"Otros"))</f>
        <v/>
      </c>
      <c r="C36" s="26" t="n"/>
      <c r="D36" s="15" t="n"/>
      <c r="E36" s="26" t="n"/>
    </row>
    <row r="37">
      <c r="A37" s="4" t="n"/>
      <c r="B37" s="28">
        <f>IF($A37="","",IFERROR(LOOKUP(2,1/((ISNUMBER(SEARCH(CONFIG!$A$3:$A$94,$A37)))*(CONFIG!$A$3:$A$94&lt;&gt;"")),CONFIG!$B$3:$B$94),"Otros"))</f>
        <v/>
      </c>
      <c r="C37" s="26" t="n"/>
      <c r="D37" s="15" t="n"/>
      <c r="E37" s="26" t="n"/>
    </row>
    <row r="38">
      <c r="A38" s="4" t="n"/>
      <c r="B38" s="28">
        <f>IF($A38="","",IFERROR(LOOKUP(2,1/((ISNUMBER(SEARCH(CONFIG!$A$3:$A$94,$A38)))*(CONFIG!$A$3:$A$94&lt;&gt;"")),CONFIG!$B$3:$B$94),"Otros"))</f>
        <v/>
      </c>
      <c r="C38" s="26" t="n"/>
      <c r="D38" s="15" t="n"/>
      <c r="E38" s="26" t="n"/>
    </row>
    <row r="39">
      <c r="A39" s="4" t="n"/>
      <c r="B39" s="28">
        <f>IF($A39="","",IFERROR(LOOKUP(2,1/((ISNUMBER(SEARCH(CONFIG!$A$3:$A$94,$A39)))*(CONFIG!$A$3:$A$94&lt;&gt;"")),CONFIG!$B$3:$B$94),"Otros"))</f>
        <v/>
      </c>
      <c r="C39" s="26" t="n"/>
      <c r="D39" s="15" t="n"/>
      <c r="E39" s="26" t="n"/>
    </row>
    <row r="40">
      <c r="A40" s="4" t="n"/>
      <c r="B40" s="28">
        <f>IF($A40="","",IFERROR(LOOKUP(2,1/((ISNUMBER(SEARCH(CONFIG!$A$3:$A$94,$A40)))*(CONFIG!$A$3:$A$94&lt;&gt;"")),CONFIG!$B$3:$B$94),"Otros"))</f>
        <v/>
      </c>
      <c r="C40" s="26" t="n"/>
      <c r="D40" s="15" t="n"/>
      <c r="E40" s="26" t="n"/>
    </row>
    <row r="41">
      <c r="A41" s="4" t="n"/>
      <c r="B41" s="28">
        <f>IF($A41="","",IFERROR(LOOKUP(2,1/((ISNUMBER(SEARCH(CONFIG!$A$3:$A$94,$A41)))*(CONFIG!$A$3:$A$94&lt;&gt;"")),CONFIG!$B$3:$B$94),"Otros"))</f>
        <v/>
      </c>
      <c r="C41" s="26" t="n"/>
      <c r="D41" s="15" t="n"/>
      <c r="E41" s="26" t="n"/>
    </row>
    <row r="42">
      <c r="A42" s="4" t="n"/>
      <c r="B42" s="28">
        <f>IF($A42="","",IFERROR(LOOKUP(2,1/((ISNUMBER(SEARCH(CONFIG!$A$3:$A$94,$A42)))*(CONFIG!$A$3:$A$94&lt;&gt;"")),CONFIG!$B$3:$B$94),"Otros"))</f>
        <v/>
      </c>
      <c r="C42" s="26" t="n"/>
      <c r="D42" s="15" t="n"/>
      <c r="E42" s="26" t="n"/>
    </row>
    <row r="43">
      <c r="A43" s="4" t="n"/>
      <c r="B43" s="28">
        <f>IF($A43="","",IFERROR(LOOKUP(2,1/((ISNUMBER(SEARCH(CONFIG!$A$3:$A$94,$A43)))*(CONFIG!$A$3:$A$94&lt;&gt;"")),CONFIG!$B$3:$B$94),"Otros"))</f>
        <v/>
      </c>
      <c r="C43" s="26" t="n"/>
      <c r="D43" s="15" t="n"/>
      <c r="E43" s="26" t="n"/>
    </row>
    <row r="44">
      <c r="A44" s="4" t="n"/>
      <c r="B44" s="28">
        <f>IF($A44="","",IFERROR(LOOKUP(2,1/((ISNUMBER(SEARCH(CONFIG!$A$3:$A$94,$A44)))*(CONFIG!$A$3:$A$94&lt;&gt;"")),CONFIG!$B$3:$B$94),"Otros"))</f>
        <v/>
      </c>
      <c r="C44" s="26" t="n"/>
      <c r="D44" s="15" t="n"/>
      <c r="E44" s="26" t="n"/>
    </row>
    <row r="45">
      <c r="A45" s="4" t="n"/>
      <c r="B45" s="28">
        <f>IF($A45="","",IFERROR(LOOKUP(2,1/((ISNUMBER(SEARCH(CONFIG!$A$3:$A$94,$A45)))*(CONFIG!$A$3:$A$94&lt;&gt;"")),CONFIG!$B$3:$B$94),"Otros"))</f>
        <v/>
      </c>
      <c r="C45" s="26" t="n"/>
      <c r="D45" s="15" t="n"/>
      <c r="E45" s="26" t="n"/>
    </row>
    <row r="46">
      <c r="A46" s="4" t="n"/>
      <c r="B46" s="28">
        <f>IF($A46="","",IFERROR(LOOKUP(2,1/((ISNUMBER(SEARCH(CONFIG!$A$3:$A$94,$A46)))*(CONFIG!$A$3:$A$94&lt;&gt;"")),CONFIG!$B$3:$B$94),"Otros"))</f>
        <v/>
      </c>
      <c r="C46" s="26" t="n"/>
      <c r="D46" s="15" t="n"/>
      <c r="E46" s="26" t="n"/>
    </row>
    <row r="47">
      <c r="A47" s="4" t="n"/>
      <c r="B47" s="28">
        <f>IF($A47="","",IFERROR(LOOKUP(2,1/((ISNUMBER(SEARCH(CONFIG!$A$3:$A$94,$A47)))*(CONFIG!$A$3:$A$94&lt;&gt;"")),CONFIG!$B$3:$B$94),"Otros"))</f>
        <v/>
      </c>
      <c r="C47" s="26" t="n"/>
      <c r="D47" s="15" t="n"/>
      <c r="E47" s="26" t="n"/>
    </row>
    <row r="48">
      <c r="A48" s="4" t="n"/>
      <c r="B48" s="28">
        <f>IF($A48="","",IFERROR(LOOKUP(2,1/((ISNUMBER(SEARCH(CONFIG!$A$3:$A$94,$A48)))*(CONFIG!$A$3:$A$94&lt;&gt;"")),CONFIG!$B$3:$B$94),"Otros"))</f>
        <v/>
      </c>
      <c r="C48" s="26" t="n"/>
      <c r="D48" s="15" t="n"/>
      <c r="E48" s="26" t="n"/>
    </row>
    <row r="49">
      <c r="A49" s="4" t="n"/>
      <c r="B49" s="28">
        <f>IF($A49="","",IFERROR(LOOKUP(2,1/((ISNUMBER(SEARCH(CONFIG!$A$3:$A$94,$A49)))*(CONFIG!$A$3:$A$94&lt;&gt;"")),CONFIG!$B$3:$B$94),"Otros"))</f>
        <v/>
      </c>
      <c r="C49" s="26" t="n"/>
      <c r="D49" s="15" t="n"/>
      <c r="E49" s="26" t="n"/>
    </row>
    <row r="50">
      <c r="A50" s="4" t="n"/>
      <c r="B50" s="28">
        <f>IF($A50="","",IFERROR(LOOKUP(2,1/((ISNUMBER(SEARCH(CONFIG!$A$3:$A$94,$A50)))*(CONFIG!$A$3:$A$94&lt;&gt;"")),CONFIG!$B$3:$B$94),"Otros"))</f>
        <v/>
      </c>
      <c r="C50" s="26" t="n"/>
      <c r="D50" s="15" t="n"/>
      <c r="E50" s="26" t="n"/>
    </row>
    <row r="51">
      <c r="A51" s="4" t="n"/>
      <c r="B51" s="28">
        <f>IF($A51="","",IFERROR(LOOKUP(2,1/((ISNUMBER(SEARCH(CONFIG!$A$3:$A$94,$A51)))*(CONFIG!$A$3:$A$94&lt;&gt;"")),CONFIG!$B$3:$B$94),"Otros"))</f>
        <v/>
      </c>
      <c r="C51" s="26" t="n"/>
      <c r="D51" s="15" t="n"/>
      <c r="E51" s="26" t="n"/>
    </row>
    <row r="52">
      <c r="A52" s="4" t="n"/>
      <c r="B52" s="28">
        <f>IF($A52="","",IFERROR(LOOKUP(2,1/((ISNUMBER(SEARCH(CONFIG!$A$3:$A$94,$A52)))*(CONFIG!$A$3:$A$94&lt;&gt;"")),CONFIG!$B$3:$B$94),"Otros"))</f>
        <v/>
      </c>
      <c r="C52" s="26" t="n"/>
      <c r="D52" s="15" t="n"/>
      <c r="E52" s="26" t="n"/>
    </row>
    <row r="53">
      <c r="A53" s="4" t="n"/>
      <c r="B53" s="28">
        <f>IF($A53="","",IFERROR(LOOKUP(2,1/((ISNUMBER(SEARCH(CONFIG!$A$3:$A$94,$A53)))*(CONFIG!$A$3:$A$94&lt;&gt;"")),CONFIG!$B$3:$B$94),"Otros"))</f>
        <v/>
      </c>
      <c r="C53" s="26" t="n"/>
      <c r="D53" s="15" t="n"/>
      <c r="E53" s="26" t="n"/>
    </row>
    <row r="54">
      <c r="A54" s="4" t="n"/>
      <c r="B54" s="28">
        <f>IF($A54="","",IFERROR(LOOKUP(2,1/((ISNUMBER(SEARCH(CONFIG!$A$3:$A$94,$A54)))*(CONFIG!$A$3:$A$94&lt;&gt;"")),CONFIG!$B$3:$B$94),"Otros"))</f>
        <v/>
      </c>
      <c r="C54" s="26" t="n"/>
      <c r="D54" s="15" t="n"/>
      <c r="E54" s="26" t="n"/>
    </row>
    <row r="55">
      <c r="A55" s="4" t="n"/>
      <c r="B55" s="28">
        <f>IF($A55="","",IFERROR(LOOKUP(2,1/((ISNUMBER(SEARCH(CONFIG!$A$3:$A$94,$A55)))*(CONFIG!$A$3:$A$94&lt;&gt;"")),CONFIG!$B$3:$B$94),"Otros"))</f>
        <v/>
      </c>
      <c r="C55" s="26" t="n"/>
      <c r="D55" s="15" t="n"/>
      <c r="E55" s="26" t="n"/>
    </row>
    <row r="56">
      <c r="A56" s="4" t="n"/>
      <c r="B56" s="28">
        <f>IF($A56="","",IFERROR(LOOKUP(2,1/((ISNUMBER(SEARCH(CONFIG!$A$3:$A$94,$A56)))*(CONFIG!$A$3:$A$94&lt;&gt;"")),CONFIG!$B$3:$B$94),"Otros"))</f>
        <v/>
      </c>
      <c r="C56" s="26" t="n"/>
      <c r="D56" s="15" t="n"/>
      <c r="E56" s="26" t="n"/>
    </row>
    <row r="57">
      <c r="A57" s="4" t="n"/>
      <c r="B57" s="28">
        <f>IF($A57="","",IFERROR(LOOKUP(2,1/((ISNUMBER(SEARCH(CONFIG!$A$3:$A$94,$A57)))*(CONFIG!$A$3:$A$94&lt;&gt;"")),CONFIG!$B$3:$B$94),"Otros"))</f>
        <v/>
      </c>
      <c r="C57" s="26" t="n"/>
      <c r="D57" s="15" t="n"/>
      <c r="E57" s="26" t="n"/>
    </row>
    <row r="58">
      <c r="A58" s="4" t="n"/>
      <c r="B58" s="28">
        <f>IF($A58="","",IFERROR(LOOKUP(2,1/((ISNUMBER(SEARCH(CONFIG!$A$3:$A$94,$A58)))*(CONFIG!$A$3:$A$94&lt;&gt;"")),CONFIG!$B$3:$B$94),"Otros"))</f>
        <v/>
      </c>
      <c r="C58" s="26" t="n"/>
      <c r="D58" s="15" t="n"/>
      <c r="E58" s="26" t="n"/>
    </row>
    <row r="59">
      <c r="A59" s="7" t="inlineStr">
        <is>
          <t>Subtotal AMEX / tarjeta</t>
        </is>
      </c>
      <c r="B59" s="10" t="n"/>
      <c r="C59" s="10" t="n"/>
      <c r="D59" s="8">
        <f>SUM(D29:D58)</f>
        <v/>
      </c>
      <c r="E59" s="10" t="n"/>
    </row>
    <row r="60" ht="28" customHeight="1">
      <c r="A60" s="16" t="inlineStr">
        <is>
          <t>➤ Pegá acá el resumen de la AMEX (Detalle + Monto). La categoría se completa sola según el mapa de la hoja CONFIG. No hace falta crear otro archivo.</t>
        </is>
      </c>
    </row>
    <row r="62">
      <c r="A62" s="29" t="inlineStr">
        <is>
          <t>RESUMEN · EN QUÉ SE GASTÓ MÁS</t>
        </is>
      </c>
    </row>
    <row r="63">
      <c r="A63" s="7" t="inlineStr">
        <is>
          <t>Por sección</t>
        </is>
      </c>
      <c r="B63" s="7" t="inlineStr">
        <is>
          <t>Monto</t>
        </is>
      </c>
      <c r="C63" s="30" t="inlineStr">
        <is>
          <t>% del total</t>
        </is>
      </c>
    </row>
    <row r="64">
      <c r="A64" s="4" t="inlineStr">
        <is>
          <t>Gastos fijos</t>
        </is>
      </c>
      <c r="B64" s="31">
        <f>$B$25</f>
        <v/>
      </c>
      <c r="C64" s="6">
        <f>IF(($B$25+$D$59)=0,0,($B$25)/($B$25+$D$59))</f>
        <v/>
      </c>
    </row>
    <row r="65">
      <c r="A65" s="4" t="inlineStr">
        <is>
          <t>Gastos AMEX / tarjeta</t>
        </is>
      </c>
      <c r="B65" s="31">
        <f>$D$59</f>
        <v/>
      </c>
      <c r="C65" s="6">
        <f>IF(($B$25+$D$59)=0,0,($D$59)/($B$25+$D$59))</f>
        <v/>
      </c>
    </row>
    <row r="66">
      <c r="A66" s="32" t="inlineStr">
        <is>
          <t>TOTAL</t>
        </is>
      </c>
      <c r="B66" s="33">
        <f>$B$25+$D$59</f>
        <v/>
      </c>
      <c r="C66" s="34">
        <f>IF(($B$25+$D$59)=0,0,1)</f>
        <v/>
      </c>
    </row>
    <row r="68">
      <c r="A68" s="7" t="inlineStr">
        <is>
          <t>Por categoría (AMEX / tarjeta)</t>
        </is>
      </c>
      <c r="B68" s="30" t="inlineStr">
        <is>
          <t>Monto</t>
        </is>
      </c>
      <c r="C68" s="30" t="inlineStr">
        <is>
          <t>% AMEX</t>
        </is>
      </c>
    </row>
    <row r="69">
      <c r="A69" s="4" t="inlineStr">
        <is>
          <t>Supermercado</t>
        </is>
      </c>
      <c r="B69" s="35">
        <f>SUMIF($B$29:$B$58,A69,$D$29:$D$58)</f>
        <v/>
      </c>
      <c r="C69" s="6">
        <f>IF($D$59=0,0,B69/$D$59)</f>
        <v/>
      </c>
    </row>
    <row r="70">
      <c r="A70" s="4" t="inlineStr">
        <is>
          <t>Verdulería</t>
        </is>
      </c>
      <c r="B70" s="35">
        <f>SUMIF($B$29:$B$58,A70,$D$29:$D$58)</f>
        <v/>
      </c>
      <c r="C70" s="6">
        <f>IF($D$59=0,0,B70/$D$59)</f>
        <v/>
      </c>
    </row>
    <row r="71">
      <c r="A71" s="4" t="inlineStr">
        <is>
          <t>Delivery</t>
        </is>
      </c>
      <c r="B71" s="35">
        <f>SUMIF($B$29:$B$58,A71,$D$29:$D$58)</f>
        <v/>
      </c>
      <c r="C71" s="6">
        <f>IF($D$59=0,0,B71/$D$59)</f>
        <v/>
      </c>
    </row>
    <row r="72">
      <c r="A72" s="4" t="inlineStr">
        <is>
          <t>Cafecito</t>
        </is>
      </c>
      <c r="B72" s="35">
        <f>SUMIF($B$29:$B$58,A72,$D$29:$D$58)</f>
        <v/>
      </c>
      <c r="C72" s="6">
        <f>IF($D$59=0,0,B72/$D$59)</f>
        <v/>
      </c>
    </row>
    <row r="73">
      <c r="A73" s="4" t="inlineStr">
        <is>
          <t>Restaurant</t>
        </is>
      </c>
      <c r="B73" s="35">
        <f>SUMIF($B$29:$B$58,A73,$D$29:$D$58)</f>
        <v/>
      </c>
      <c r="C73" s="6">
        <f>IF($D$59=0,0,B73/$D$59)</f>
        <v/>
      </c>
    </row>
    <row r="74">
      <c r="A74" s="4" t="inlineStr">
        <is>
          <t>Salida</t>
        </is>
      </c>
      <c r="B74" s="35">
        <f>SUMIF($B$29:$B$58,A74,$D$29:$D$58)</f>
        <v/>
      </c>
      <c r="C74" s="6">
        <f>IF($D$59=0,0,B74/$D$59)</f>
        <v/>
      </c>
    </row>
    <row r="75">
      <c r="A75" s="4" t="inlineStr">
        <is>
          <t>Nafta</t>
        </is>
      </c>
      <c r="B75" s="35">
        <f>SUMIF($B$29:$B$58,A75,$D$29:$D$58)</f>
        <v/>
      </c>
      <c r="C75" s="6">
        <f>IF($D$59=0,0,B75/$D$59)</f>
        <v/>
      </c>
    </row>
    <row r="76">
      <c r="A76" s="4" t="inlineStr">
        <is>
          <t>Transporte</t>
        </is>
      </c>
      <c r="B76" s="35">
        <f>SUMIF($B$29:$B$58,A76,$D$29:$D$58)</f>
        <v/>
      </c>
      <c r="C76" s="6">
        <f>IF($D$59=0,0,B76/$D$59)</f>
        <v/>
      </c>
    </row>
    <row r="77">
      <c r="A77" s="4" t="inlineStr">
        <is>
          <t>Veterinaria</t>
        </is>
      </c>
      <c r="B77" s="35">
        <f>SUMIF($B$29:$B$58,A77,$D$29:$D$58)</f>
        <v/>
      </c>
      <c r="C77" s="6">
        <f>IF($D$59=0,0,B77/$D$59)</f>
        <v/>
      </c>
    </row>
    <row r="78">
      <c r="A78" s="4" t="inlineStr">
        <is>
          <t>Farmacia</t>
        </is>
      </c>
      <c r="B78" s="35">
        <f>SUMIF($B$29:$B$58,A78,$D$29:$D$58)</f>
        <v/>
      </c>
      <c r="C78" s="6">
        <f>IF($D$59=0,0,B78/$D$59)</f>
        <v/>
      </c>
    </row>
    <row r="79">
      <c r="A79" s="4" t="inlineStr">
        <is>
          <t>Viaje</t>
        </is>
      </c>
      <c r="B79" s="35">
        <f>SUMIF($B$29:$B$58,A79,$D$29:$D$58)</f>
        <v/>
      </c>
      <c r="C79" s="6">
        <f>IF($D$59=0,0,B79/$D$59)</f>
        <v/>
      </c>
    </row>
    <row r="80">
      <c r="A80" s="4" t="inlineStr">
        <is>
          <t>Trámites</t>
        </is>
      </c>
      <c r="B80" s="35">
        <f>SUMIF($B$29:$B$58,A80,$D$29:$D$58)</f>
        <v/>
      </c>
      <c r="C80" s="6">
        <f>IF($D$59=0,0,B80/$D$59)</f>
        <v/>
      </c>
    </row>
    <row r="81">
      <c r="A81" s="4" t="inlineStr">
        <is>
          <t>Otros</t>
        </is>
      </c>
      <c r="B81" s="35">
        <f>SUMIF($B$29:$B$58,A81,$D$29:$D$58)</f>
        <v/>
      </c>
      <c r="C81" s="6">
        <f>IF($D$59=0,0,B81/$D$59)</f>
        <v/>
      </c>
    </row>
    <row r="82">
      <c r="A82" s="36" t="inlineStr">
        <is>
          <t>Top categoría</t>
        </is>
      </c>
      <c r="B82" s="37">
        <f>IFERROR(INDEX(A69:A81,MATCH(MAX(B69:B81),B69:B81,0)),"-")</f>
        <v/>
      </c>
      <c r="C82" s="38">
        <f>MAX(B69:B81)</f>
        <v/>
      </c>
    </row>
    <row r="84">
      <c r="A84" s="39" t="inlineStr">
        <is>
          <t>SUGERIDO PARA EL MES SIGUIENTE  ·  según lo gastado este mes</t>
        </is>
      </c>
    </row>
    <row r="85">
      <c r="A85" s="40" t="inlineStr">
        <is>
          <t>Base (gasto del mes)</t>
        </is>
      </c>
      <c r="B85" s="40" t="inlineStr">
        <is>
          <t>% Loli</t>
        </is>
      </c>
      <c r="C85" s="40" t="inlineStr">
        <is>
          <t>% Tito</t>
        </is>
      </c>
      <c r="D85" s="40" t="inlineStr">
        <is>
          <t>Sugerido Loli</t>
        </is>
      </c>
      <c r="E85" s="40" t="inlineStr">
        <is>
          <t>Sugerido Tito</t>
        </is>
      </c>
    </row>
    <row r="86">
      <c r="A86" s="41">
        <f>$B$25+$D$59</f>
        <v/>
      </c>
      <c r="B86" s="42">
        <f>PCT_LOLI</f>
        <v/>
      </c>
      <c r="C86" s="42">
        <f>PCT_TITO</f>
        <v/>
      </c>
      <c r="D86" s="43">
        <f>A86*B86</f>
        <v/>
      </c>
      <c r="E86" s="43">
        <f>A86*C86</f>
        <v/>
      </c>
    </row>
    <row r="87" ht="26" customHeight="1">
      <c r="A87" s="16" t="inlineStr">
        <is>
          <t>Idea: para no quedar cortos, cada uno aporta aprox. lo que le tocó este mes según el split 40/60. Si querés margen, subí un 10-15%.</t>
        </is>
      </c>
    </row>
  </sheetData>
  <mergeCells count="8">
    <mergeCell ref="A84:G84"/>
    <mergeCell ref="A1:G1"/>
    <mergeCell ref="A27:G27"/>
    <mergeCell ref="A8:G8"/>
    <mergeCell ref="A3:G3"/>
    <mergeCell ref="A87:G87"/>
    <mergeCell ref="A62:G62"/>
    <mergeCell ref="A60:G60"/>
  </mergeCells>
  <dataValidations count="2">
    <dataValidation sqref="C10:C24 E29:E58" showDropDown="0" showInputMessage="0" showErrorMessage="0" allowBlank="1" type="list">
      <formula1>"AMEX Loli,AMEX Tito,Transferencia,Efectivo"</formula1>
    </dataValidation>
    <dataValidation sqref="C29:C58" showDropDown="0" showInputMessage="0" showErrorMessage="0" allowBlank="1" type="list">
      <formula1>"Núñez,Pilar,Ambos"</formula1>
    </dataValidation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87"/>
  <sheetViews>
    <sheetView showGridLines="0" workbookViewId="0">
      <selection activeCell="A1" sqref="A1"/>
    </sheetView>
  </sheetViews>
  <sheetFormatPr baseColWidth="8" defaultRowHeight="15"/>
  <cols>
    <col width="30" customWidth="1" min="1" max="1"/>
    <col width="14" customWidth="1" min="2" max="2"/>
    <col width="12" customWidth="1" min="3" max="3"/>
    <col width="14" customWidth="1" min="4" max="4"/>
    <col width="16" customWidth="1" min="5" max="5"/>
    <col width="14" customWidth="1" min="6" max="6"/>
    <col width="14" customWidth="1" min="7" max="7"/>
  </cols>
  <sheetData>
    <row r="1" ht="30" customHeight="1">
      <c r="A1" s="1" t="inlineStr">
        <is>
          <t>NOVIEMBRE 2026</t>
        </is>
      </c>
    </row>
    <row r="3">
      <c r="A3" s="2" t="inlineStr">
        <is>
          <t>CONTROL DEL MES</t>
        </is>
      </c>
    </row>
    <row r="4" ht="26" customHeight="1">
      <c r="A4" s="17" t="inlineStr">
        <is>
          <t>Aporte Loli</t>
        </is>
      </c>
      <c r="B4" s="17" t="inlineStr">
        <is>
          <t>Aporte Tito</t>
        </is>
      </c>
      <c r="C4" s="17" t="inlineStr">
        <is>
          <t>Sobró del mes anterior</t>
        </is>
      </c>
      <c r="D4" s="17">
        <f> Total disponible</f>
        <v/>
      </c>
      <c r="E4" s="17" t="inlineStr">
        <is>
          <t>Total gastado</t>
        </is>
      </c>
      <c r="F4" s="18" t="inlineStr">
        <is>
          <t>FALTÓ</t>
        </is>
      </c>
      <c r="G4" s="19" t="inlineStr">
        <is>
          <t>SOBRÓ (pasa →)</t>
        </is>
      </c>
    </row>
    <row r="5">
      <c r="A5" s="20" t="n">
        <v>0</v>
      </c>
      <c r="B5" s="20" t="n">
        <v>0</v>
      </c>
      <c r="C5" s="20">
        <f>'OCTUBRE'!$G$5</f>
        <v/>
      </c>
      <c r="D5" s="21">
        <f>A5+B5+C5</f>
        <v/>
      </c>
      <c r="E5" s="21">
        <f>B25+D59</f>
        <v/>
      </c>
      <c r="F5" s="22">
        <f>MAX(0,E5-D5)</f>
        <v/>
      </c>
      <c r="G5" s="23">
        <f>MAX(0,D5-E5)</f>
        <v/>
      </c>
    </row>
    <row r="6"/>
    <row r="8">
      <c r="A8" s="24" t="inlineStr">
        <is>
          <t>GASTOS FIJOS   ·   monto y medio de pago</t>
        </is>
      </c>
    </row>
    <row r="9">
      <c r="A9" s="25" t="inlineStr">
        <is>
          <t>Concepto</t>
        </is>
      </c>
      <c r="B9" s="25" t="inlineStr">
        <is>
          <t>Monto</t>
        </is>
      </c>
      <c r="C9" s="25" t="inlineStr">
        <is>
          <t>Medio de pago</t>
        </is>
      </c>
    </row>
    <row r="10">
      <c r="A10" s="4" t="inlineStr">
        <is>
          <t>Expensas Núñez</t>
        </is>
      </c>
      <c r="B10" s="15" t="n"/>
      <c r="C10" s="26" t="inlineStr"/>
    </row>
    <row r="11">
      <c r="A11" s="4" t="inlineStr">
        <is>
          <t>Expensas Pilar</t>
        </is>
      </c>
      <c r="B11" s="15" t="n"/>
      <c r="C11" s="26" t="inlineStr"/>
    </row>
    <row r="12">
      <c r="A12" s="4" t="inlineStr">
        <is>
          <t>Luz Núñez</t>
        </is>
      </c>
      <c r="B12" s="15" t="n"/>
      <c r="C12" s="26" t="inlineStr"/>
    </row>
    <row r="13">
      <c r="A13" s="4" t="inlineStr">
        <is>
          <t>Luz Pilar</t>
        </is>
      </c>
      <c r="B13" s="15" t="n"/>
      <c r="C13" s="26" t="inlineStr"/>
    </row>
    <row r="14">
      <c r="A14" s="4" t="inlineStr">
        <is>
          <t>Wifi Núñez</t>
        </is>
      </c>
      <c r="B14" s="15" t="n"/>
      <c r="C14" s="26" t="inlineStr"/>
    </row>
    <row r="15">
      <c r="A15" s="4" t="inlineStr">
        <is>
          <t>Wifi Pilar</t>
        </is>
      </c>
      <c r="B15" s="15" t="n"/>
      <c r="C15" s="26" t="inlineStr"/>
    </row>
    <row r="16">
      <c r="A16" s="4" t="inlineStr">
        <is>
          <t>Paseadora Antonio</t>
        </is>
      </c>
      <c r="B16" s="15" t="n"/>
      <c r="C16" s="26" t="inlineStr"/>
    </row>
    <row r="17">
      <c r="A17" s="4" t="inlineStr">
        <is>
          <t>Limpieza Núñez</t>
        </is>
      </c>
      <c r="B17" s="15" t="n"/>
      <c r="C17" s="26" t="inlineStr"/>
    </row>
    <row r="18">
      <c r="A18" s="4" t="inlineStr">
        <is>
          <t>Limpieza Pilar</t>
        </is>
      </c>
      <c r="B18" s="15" t="n"/>
      <c r="C18" s="26" t="inlineStr"/>
    </row>
    <row r="19">
      <c r="A19" s="4" t="inlineStr">
        <is>
          <t>Netflix</t>
        </is>
      </c>
      <c r="B19" s="15" t="n"/>
      <c r="C19" s="26" t="inlineStr"/>
    </row>
    <row r="20">
      <c r="A20" s="4" t="inlineStr">
        <is>
          <t>Pilates</t>
        </is>
      </c>
      <c r="B20" s="15" t="n"/>
      <c r="C20" s="26" t="inlineStr"/>
    </row>
    <row r="21">
      <c r="A21" s="27" t="n"/>
      <c r="B21" s="15" t="n"/>
      <c r="C21" s="26" t="n"/>
    </row>
    <row r="22">
      <c r="A22" s="27" t="n"/>
      <c r="B22" s="15" t="n"/>
      <c r="C22" s="26" t="n"/>
    </row>
    <row r="23">
      <c r="A23" s="27" t="n"/>
      <c r="B23" s="15" t="n"/>
      <c r="C23" s="26" t="n"/>
    </row>
    <row r="24">
      <c r="A24" s="27" t="n"/>
      <c r="B24" s="15" t="n"/>
      <c r="C24" s="26" t="n"/>
    </row>
    <row r="25">
      <c r="A25" s="7" t="inlineStr">
        <is>
          <t>Subtotal fijos</t>
        </is>
      </c>
      <c r="B25" s="8">
        <f>SUM(B10:B24)</f>
        <v/>
      </c>
      <c r="C25" s="10" t="n"/>
    </row>
    <row r="27">
      <c r="A27" s="24" t="inlineStr">
        <is>
          <t>GASTOS AMEX / TARJETA   ·   por categoría (se acomoda solo)</t>
        </is>
      </c>
    </row>
    <row r="28">
      <c r="A28" s="25" t="inlineStr">
        <is>
          <t>Detalle / Comercio</t>
        </is>
      </c>
      <c r="B28" s="25" t="inlineStr">
        <is>
          <t>Categoría (auto)</t>
        </is>
      </c>
      <c r="C28" s="25" t="inlineStr">
        <is>
          <t>Casa</t>
        </is>
      </c>
      <c r="D28" s="25" t="inlineStr">
        <is>
          <t>Monto</t>
        </is>
      </c>
      <c r="E28" s="25" t="inlineStr">
        <is>
          <t>Medio de pago</t>
        </is>
      </c>
    </row>
    <row r="29">
      <c r="A29" s="4" t="n"/>
      <c r="B29" s="28">
        <f>IF($A29="","",IFERROR(LOOKUP(2,1/((ISNUMBER(SEARCH(CONFIG!$A$3:$A$94,$A29)))*(CONFIG!$A$3:$A$94&lt;&gt;"")),CONFIG!$B$3:$B$94),"Otros"))</f>
        <v/>
      </c>
      <c r="C29" s="26" t="n"/>
      <c r="D29" s="15" t="n"/>
      <c r="E29" s="26" t="n"/>
    </row>
    <row r="30">
      <c r="A30" s="4" t="n"/>
      <c r="B30" s="28">
        <f>IF($A30="","",IFERROR(LOOKUP(2,1/((ISNUMBER(SEARCH(CONFIG!$A$3:$A$94,$A30)))*(CONFIG!$A$3:$A$94&lt;&gt;"")),CONFIG!$B$3:$B$94),"Otros"))</f>
        <v/>
      </c>
      <c r="C30" s="26" t="n"/>
      <c r="D30" s="15" t="n"/>
      <c r="E30" s="26" t="n"/>
    </row>
    <row r="31">
      <c r="A31" s="4" t="n"/>
      <c r="B31" s="28">
        <f>IF($A31="","",IFERROR(LOOKUP(2,1/((ISNUMBER(SEARCH(CONFIG!$A$3:$A$94,$A31)))*(CONFIG!$A$3:$A$94&lt;&gt;"")),CONFIG!$B$3:$B$94),"Otros"))</f>
        <v/>
      </c>
      <c r="C31" s="26" t="n"/>
      <c r="D31" s="15" t="n"/>
      <c r="E31" s="26" t="n"/>
    </row>
    <row r="32">
      <c r="A32" s="4" t="n"/>
      <c r="B32" s="28">
        <f>IF($A32="","",IFERROR(LOOKUP(2,1/((ISNUMBER(SEARCH(CONFIG!$A$3:$A$94,$A32)))*(CONFIG!$A$3:$A$94&lt;&gt;"")),CONFIG!$B$3:$B$94),"Otros"))</f>
        <v/>
      </c>
      <c r="C32" s="26" t="n"/>
      <c r="D32" s="15" t="n"/>
      <c r="E32" s="26" t="n"/>
    </row>
    <row r="33">
      <c r="A33" s="4" t="n"/>
      <c r="B33" s="28">
        <f>IF($A33="","",IFERROR(LOOKUP(2,1/((ISNUMBER(SEARCH(CONFIG!$A$3:$A$94,$A33)))*(CONFIG!$A$3:$A$94&lt;&gt;"")),CONFIG!$B$3:$B$94),"Otros"))</f>
        <v/>
      </c>
      <c r="C33" s="26" t="n"/>
      <c r="D33" s="15" t="n"/>
      <c r="E33" s="26" t="n"/>
    </row>
    <row r="34">
      <c r="A34" s="4" t="n"/>
      <c r="B34" s="28">
        <f>IF($A34="","",IFERROR(LOOKUP(2,1/((ISNUMBER(SEARCH(CONFIG!$A$3:$A$94,$A34)))*(CONFIG!$A$3:$A$94&lt;&gt;"")),CONFIG!$B$3:$B$94),"Otros"))</f>
        <v/>
      </c>
      <c r="C34" s="26" t="n"/>
      <c r="D34" s="15" t="n"/>
      <c r="E34" s="26" t="n"/>
    </row>
    <row r="35">
      <c r="A35" s="4" t="n"/>
      <c r="B35" s="28">
        <f>IF($A35="","",IFERROR(LOOKUP(2,1/((ISNUMBER(SEARCH(CONFIG!$A$3:$A$94,$A35)))*(CONFIG!$A$3:$A$94&lt;&gt;"")),CONFIG!$B$3:$B$94),"Otros"))</f>
        <v/>
      </c>
      <c r="C35" s="26" t="n"/>
      <c r="D35" s="15" t="n"/>
      <c r="E35" s="26" t="n"/>
    </row>
    <row r="36">
      <c r="A36" s="4" t="n"/>
      <c r="B36" s="28">
        <f>IF($A36="","",IFERROR(LOOKUP(2,1/((ISNUMBER(SEARCH(CONFIG!$A$3:$A$94,$A36)))*(CONFIG!$A$3:$A$94&lt;&gt;"")),CONFIG!$B$3:$B$94),"Otros"))</f>
        <v/>
      </c>
      <c r="C36" s="26" t="n"/>
      <c r="D36" s="15" t="n"/>
      <c r="E36" s="26" t="n"/>
    </row>
    <row r="37">
      <c r="A37" s="4" t="n"/>
      <c r="B37" s="28">
        <f>IF($A37="","",IFERROR(LOOKUP(2,1/((ISNUMBER(SEARCH(CONFIG!$A$3:$A$94,$A37)))*(CONFIG!$A$3:$A$94&lt;&gt;"")),CONFIG!$B$3:$B$94),"Otros"))</f>
        <v/>
      </c>
      <c r="C37" s="26" t="n"/>
      <c r="D37" s="15" t="n"/>
      <c r="E37" s="26" t="n"/>
    </row>
    <row r="38">
      <c r="A38" s="4" t="n"/>
      <c r="B38" s="28">
        <f>IF($A38="","",IFERROR(LOOKUP(2,1/((ISNUMBER(SEARCH(CONFIG!$A$3:$A$94,$A38)))*(CONFIG!$A$3:$A$94&lt;&gt;"")),CONFIG!$B$3:$B$94),"Otros"))</f>
        <v/>
      </c>
      <c r="C38" s="26" t="n"/>
      <c r="D38" s="15" t="n"/>
      <c r="E38" s="26" t="n"/>
    </row>
    <row r="39">
      <c r="A39" s="4" t="n"/>
      <c r="B39" s="28">
        <f>IF($A39="","",IFERROR(LOOKUP(2,1/((ISNUMBER(SEARCH(CONFIG!$A$3:$A$94,$A39)))*(CONFIG!$A$3:$A$94&lt;&gt;"")),CONFIG!$B$3:$B$94),"Otros"))</f>
        <v/>
      </c>
      <c r="C39" s="26" t="n"/>
      <c r="D39" s="15" t="n"/>
      <c r="E39" s="26" t="n"/>
    </row>
    <row r="40">
      <c r="A40" s="4" t="n"/>
      <c r="B40" s="28">
        <f>IF($A40="","",IFERROR(LOOKUP(2,1/((ISNUMBER(SEARCH(CONFIG!$A$3:$A$94,$A40)))*(CONFIG!$A$3:$A$94&lt;&gt;"")),CONFIG!$B$3:$B$94),"Otros"))</f>
        <v/>
      </c>
      <c r="C40" s="26" t="n"/>
      <c r="D40" s="15" t="n"/>
      <c r="E40" s="26" t="n"/>
    </row>
    <row r="41">
      <c r="A41" s="4" t="n"/>
      <c r="B41" s="28">
        <f>IF($A41="","",IFERROR(LOOKUP(2,1/((ISNUMBER(SEARCH(CONFIG!$A$3:$A$94,$A41)))*(CONFIG!$A$3:$A$94&lt;&gt;"")),CONFIG!$B$3:$B$94),"Otros"))</f>
        <v/>
      </c>
      <c r="C41" s="26" t="n"/>
      <c r="D41" s="15" t="n"/>
      <c r="E41" s="26" t="n"/>
    </row>
    <row r="42">
      <c r="A42" s="4" t="n"/>
      <c r="B42" s="28">
        <f>IF($A42="","",IFERROR(LOOKUP(2,1/((ISNUMBER(SEARCH(CONFIG!$A$3:$A$94,$A42)))*(CONFIG!$A$3:$A$94&lt;&gt;"")),CONFIG!$B$3:$B$94),"Otros"))</f>
        <v/>
      </c>
      <c r="C42" s="26" t="n"/>
      <c r="D42" s="15" t="n"/>
      <c r="E42" s="26" t="n"/>
    </row>
    <row r="43">
      <c r="A43" s="4" t="n"/>
      <c r="B43" s="28">
        <f>IF($A43="","",IFERROR(LOOKUP(2,1/((ISNUMBER(SEARCH(CONFIG!$A$3:$A$94,$A43)))*(CONFIG!$A$3:$A$94&lt;&gt;"")),CONFIG!$B$3:$B$94),"Otros"))</f>
        <v/>
      </c>
      <c r="C43" s="26" t="n"/>
      <c r="D43" s="15" t="n"/>
      <c r="E43" s="26" t="n"/>
    </row>
    <row r="44">
      <c r="A44" s="4" t="n"/>
      <c r="B44" s="28">
        <f>IF($A44="","",IFERROR(LOOKUP(2,1/((ISNUMBER(SEARCH(CONFIG!$A$3:$A$94,$A44)))*(CONFIG!$A$3:$A$94&lt;&gt;"")),CONFIG!$B$3:$B$94),"Otros"))</f>
        <v/>
      </c>
      <c r="C44" s="26" t="n"/>
      <c r="D44" s="15" t="n"/>
      <c r="E44" s="26" t="n"/>
    </row>
    <row r="45">
      <c r="A45" s="4" t="n"/>
      <c r="B45" s="28">
        <f>IF($A45="","",IFERROR(LOOKUP(2,1/((ISNUMBER(SEARCH(CONFIG!$A$3:$A$94,$A45)))*(CONFIG!$A$3:$A$94&lt;&gt;"")),CONFIG!$B$3:$B$94),"Otros"))</f>
        <v/>
      </c>
      <c r="C45" s="26" t="n"/>
      <c r="D45" s="15" t="n"/>
      <c r="E45" s="26" t="n"/>
    </row>
    <row r="46">
      <c r="A46" s="4" t="n"/>
      <c r="B46" s="28">
        <f>IF($A46="","",IFERROR(LOOKUP(2,1/((ISNUMBER(SEARCH(CONFIG!$A$3:$A$94,$A46)))*(CONFIG!$A$3:$A$94&lt;&gt;"")),CONFIG!$B$3:$B$94),"Otros"))</f>
        <v/>
      </c>
      <c r="C46" s="26" t="n"/>
      <c r="D46" s="15" t="n"/>
      <c r="E46" s="26" t="n"/>
    </row>
    <row r="47">
      <c r="A47" s="4" t="n"/>
      <c r="B47" s="28">
        <f>IF($A47="","",IFERROR(LOOKUP(2,1/((ISNUMBER(SEARCH(CONFIG!$A$3:$A$94,$A47)))*(CONFIG!$A$3:$A$94&lt;&gt;"")),CONFIG!$B$3:$B$94),"Otros"))</f>
        <v/>
      </c>
      <c r="C47" s="26" t="n"/>
      <c r="D47" s="15" t="n"/>
      <c r="E47" s="26" t="n"/>
    </row>
    <row r="48">
      <c r="A48" s="4" t="n"/>
      <c r="B48" s="28">
        <f>IF($A48="","",IFERROR(LOOKUP(2,1/((ISNUMBER(SEARCH(CONFIG!$A$3:$A$94,$A48)))*(CONFIG!$A$3:$A$94&lt;&gt;"")),CONFIG!$B$3:$B$94),"Otros"))</f>
        <v/>
      </c>
      <c r="C48" s="26" t="n"/>
      <c r="D48" s="15" t="n"/>
      <c r="E48" s="26" t="n"/>
    </row>
    <row r="49">
      <c r="A49" s="4" t="n"/>
      <c r="B49" s="28">
        <f>IF($A49="","",IFERROR(LOOKUP(2,1/((ISNUMBER(SEARCH(CONFIG!$A$3:$A$94,$A49)))*(CONFIG!$A$3:$A$94&lt;&gt;"")),CONFIG!$B$3:$B$94),"Otros"))</f>
        <v/>
      </c>
      <c r="C49" s="26" t="n"/>
      <c r="D49" s="15" t="n"/>
      <c r="E49" s="26" t="n"/>
    </row>
    <row r="50">
      <c r="A50" s="4" t="n"/>
      <c r="B50" s="28">
        <f>IF($A50="","",IFERROR(LOOKUP(2,1/((ISNUMBER(SEARCH(CONFIG!$A$3:$A$94,$A50)))*(CONFIG!$A$3:$A$94&lt;&gt;"")),CONFIG!$B$3:$B$94),"Otros"))</f>
        <v/>
      </c>
      <c r="C50" s="26" t="n"/>
      <c r="D50" s="15" t="n"/>
      <c r="E50" s="26" t="n"/>
    </row>
    <row r="51">
      <c r="A51" s="4" t="n"/>
      <c r="B51" s="28">
        <f>IF($A51="","",IFERROR(LOOKUP(2,1/((ISNUMBER(SEARCH(CONFIG!$A$3:$A$94,$A51)))*(CONFIG!$A$3:$A$94&lt;&gt;"")),CONFIG!$B$3:$B$94),"Otros"))</f>
        <v/>
      </c>
      <c r="C51" s="26" t="n"/>
      <c r="D51" s="15" t="n"/>
      <c r="E51" s="26" t="n"/>
    </row>
    <row r="52">
      <c r="A52" s="4" t="n"/>
      <c r="B52" s="28">
        <f>IF($A52="","",IFERROR(LOOKUP(2,1/((ISNUMBER(SEARCH(CONFIG!$A$3:$A$94,$A52)))*(CONFIG!$A$3:$A$94&lt;&gt;"")),CONFIG!$B$3:$B$94),"Otros"))</f>
        <v/>
      </c>
      <c r="C52" s="26" t="n"/>
      <c r="D52" s="15" t="n"/>
      <c r="E52" s="26" t="n"/>
    </row>
    <row r="53">
      <c r="A53" s="4" t="n"/>
      <c r="B53" s="28">
        <f>IF($A53="","",IFERROR(LOOKUP(2,1/((ISNUMBER(SEARCH(CONFIG!$A$3:$A$94,$A53)))*(CONFIG!$A$3:$A$94&lt;&gt;"")),CONFIG!$B$3:$B$94),"Otros"))</f>
        <v/>
      </c>
      <c r="C53" s="26" t="n"/>
      <c r="D53" s="15" t="n"/>
      <c r="E53" s="26" t="n"/>
    </row>
    <row r="54">
      <c r="A54" s="4" t="n"/>
      <c r="B54" s="28">
        <f>IF($A54="","",IFERROR(LOOKUP(2,1/((ISNUMBER(SEARCH(CONFIG!$A$3:$A$94,$A54)))*(CONFIG!$A$3:$A$94&lt;&gt;"")),CONFIG!$B$3:$B$94),"Otros"))</f>
        <v/>
      </c>
      <c r="C54" s="26" t="n"/>
      <c r="D54" s="15" t="n"/>
      <c r="E54" s="26" t="n"/>
    </row>
    <row r="55">
      <c r="A55" s="4" t="n"/>
      <c r="B55" s="28">
        <f>IF($A55="","",IFERROR(LOOKUP(2,1/((ISNUMBER(SEARCH(CONFIG!$A$3:$A$94,$A55)))*(CONFIG!$A$3:$A$94&lt;&gt;"")),CONFIG!$B$3:$B$94),"Otros"))</f>
        <v/>
      </c>
      <c r="C55" s="26" t="n"/>
      <c r="D55" s="15" t="n"/>
      <c r="E55" s="26" t="n"/>
    </row>
    <row r="56">
      <c r="A56" s="4" t="n"/>
      <c r="B56" s="28">
        <f>IF($A56="","",IFERROR(LOOKUP(2,1/((ISNUMBER(SEARCH(CONFIG!$A$3:$A$94,$A56)))*(CONFIG!$A$3:$A$94&lt;&gt;"")),CONFIG!$B$3:$B$94),"Otros"))</f>
        <v/>
      </c>
      <c r="C56" s="26" t="n"/>
      <c r="D56" s="15" t="n"/>
      <c r="E56" s="26" t="n"/>
    </row>
    <row r="57">
      <c r="A57" s="4" t="n"/>
      <c r="B57" s="28">
        <f>IF($A57="","",IFERROR(LOOKUP(2,1/((ISNUMBER(SEARCH(CONFIG!$A$3:$A$94,$A57)))*(CONFIG!$A$3:$A$94&lt;&gt;"")),CONFIG!$B$3:$B$94),"Otros"))</f>
        <v/>
      </c>
      <c r="C57" s="26" t="n"/>
      <c r="D57" s="15" t="n"/>
      <c r="E57" s="26" t="n"/>
    </row>
    <row r="58">
      <c r="A58" s="4" t="n"/>
      <c r="B58" s="28">
        <f>IF($A58="","",IFERROR(LOOKUP(2,1/((ISNUMBER(SEARCH(CONFIG!$A$3:$A$94,$A58)))*(CONFIG!$A$3:$A$94&lt;&gt;"")),CONFIG!$B$3:$B$94),"Otros"))</f>
        <v/>
      </c>
      <c r="C58" s="26" t="n"/>
      <c r="D58" s="15" t="n"/>
      <c r="E58" s="26" t="n"/>
    </row>
    <row r="59">
      <c r="A59" s="7" t="inlineStr">
        <is>
          <t>Subtotal AMEX / tarjeta</t>
        </is>
      </c>
      <c r="B59" s="10" t="n"/>
      <c r="C59" s="10" t="n"/>
      <c r="D59" s="8">
        <f>SUM(D29:D58)</f>
        <v/>
      </c>
      <c r="E59" s="10" t="n"/>
    </row>
    <row r="60" ht="28" customHeight="1">
      <c r="A60" s="16" t="inlineStr">
        <is>
          <t>➤ Pegá acá el resumen de la AMEX (Detalle + Monto). La categoría se completa sola según el mapa de la hoja CONFIG. No hace falta crear otro archivo.</t>
        </is>
      </c>
    </row>
    <row r="62">
      <c r="A62" s="29" t="inlineStr">
        <is>
          <t>RESUMEN · EN QUÉ SE GASTÓ MÁS</t>
        </is>
      </c>
    </row>
    <row r="63">
      <c r="A63" s="7" t="inlineStr">
        <is>
          <t>Por sección</t>
        </is>
      </c>
      <c r="B63" s="7" t="inlineStr">
        <is>
          <t>Monto</t>
        </is>
      </c>
      <c r="C63" s="30" t="inlineStr">
        <is>
          <t>% del total</t>
        </is>
      </c>
    </row>
    <row r="64">
      <c r="A64" s="4" t="inlineStr">
        <is>
          <t>Gastos fijos</t>
        </is>
      </c>
      <c r="B64" s="31">
        <f>$B$25</f>
        <v/>
      </c>
      <c r="C64" s="6">
        <f>IF(($B$25+$D$59)=0,0,($B$25)/($B$25+$D$59))</f>
        <v/>
      </c>
    </row>
    <row r="65">
      <c r="A65" s="4" t="inlineStr">
        <is>
          <t>Gastos AMEX / tarjeta</t>
        </is>
      </c>
      <c r="B65" s="31">
        <f>$D$59</f>
        <v/>
      </c>
      <c r="C65" s="6">
        <f>IF(($B$25+$D$59)=0,0,($D$59)/($B$25+$D$59))</f>
        <v/>
      </c>
    </row>
    <row r="66">
      <c r="A66" s="32" t="inlineStr">
        <is>
          <t>TOTAL</t>
        </is>
      </c>
      <c r="B66" s="33">
        <f>$B$25+$D$59</f>
        <v/>
      </c>
      <c r="C66" s="34">
        <f>IF(($B$25+$D$59)=0,0,1)</f>
        <v/>
      </c>
    </row>
    <row r="68">
      <c r="A68" s="7" t="inlineStr">
        <is>
          <t>Por categoría (AMEX / tarjeta)</t>
        </is>
      </c>
      <c r="B68" s="30" t="inlineStr">
        <is>
          <t>Monto</t>
        </is>
      </c>
      <c r="C68" s="30" t="inlineStr">
        <is>
          <t>% AMEX</t>
        </is>
      </c>
    </row>
    <row r="69">
      <c r="A69" s="4" t="inlineStr">
        <is>
          <t>Supermercado</t>
        </is>
      </c>
      <c r="B69" s="35">
        <f>SUMIF($B$29:$B$58,A69,$D$29:$D$58)</f>
        <v/>
      </c>
      <c r="C69" s="6">
        <f>IF($D$59=0,0,B69/$D$59)</f>
        <v/>
      </c>
    </row>
    <row r="70">
      <c r="A70" s="4" t="inlineStr">
        <is>
          <t>Verdulería</t>
        </is>
      </c>
      <c r="B70" s="35">
        <f>SUMIF($B$29:$B$58,A70,$D$29:$D$58)</f>
        <v/>
      </c>
      <c r="C70" s="6">
        <f>IF($D$59=0,0,B70/$D$59)</f>
        <v/>
      </c>
    </row>
    <row r="71">
      <c r="A71" s="4" t="inlineStr">
        <is>
          <t>Delivery</t>
        </is>
      </c>
      <c r="B71" s="35">
        <f>SUMIF($B$29:$B$58,A71,$D$29:$D$58)</f>
        <v/>
      </c>
      <c r="C71" s="6">
        <f>IF($D$59=0,0,B71/$D$59)</f>
        <v/>
      </c>
    </row>
    <row r="72">
      <c r="A72" s="4" t="inlineStr">
        <is>
          <t>Cafecito</t>
        </is>
      </c>
      <c r="B72" s="35">
        <f>SUMIF($B$29:$B$58,A72,$D$29:$D$58)</f>
        <v/>
      </c>
      <c r="C72" s="6">
        <f>IF($D$59=0,0,B72/$D$59)</f>
        <v/>
      </c>
    </row>
    <row r="73">
      <c r="A73" s="4" t="inlineStr">
        <is>
          <t>Restaurant</t>
        </is>
      </c>
      <c r="B73" s="35">
        <f>SUMIF($B$29:$B$58,A73,$D$29:$D$58)</f>
        <v/>
      </c>
      <c r="C73" s="6">
        <f>IF($D$59=0,0,B73/$D$59)</f>
        <v/>
      </c>
    </row>
    <row r="74">
      <c r="A74" s="4" t="inlineStr">
        <is>
          <t>Salida</t>
        </is>
      </c>
      <c r="B74" s="35">
        <f>SUMIF($B$29:$B$58,A74,$D$29:$D$58)</f>
        <v/>
      </c>
      <c r="C74" s="6">
        <f>IF($D$59=0,0,B74/$D$59)</f>
        <v/>
      </c>
    </row>
    <row r="75">
      <c r="A75" s="4" t="inlineStr">
        <is>
          <t>Nafta</t>
        </is>
      </c>
      <c r="B75" s="35">
        <f>SUMIF($B$29:$B$58,A75,$D$29:$D$58)</f>
        <v/>
      </c>
      <c r="C75" s="6">
        <f>IF($D$59=0,0,B75/$D$59)</f>
        <v/>
      </c>
    </row>
    <row r="76">
      <c r="A76" s="4" t="inlineStr">
        <is>
          <t>Transporte</t>
        </is>
      </c>
      <c r="B76" s="35">
        <f>SUMIF($B$29:$B$58,A76,$D$29:$D$58)</f>
        <v/>
      </c>
      <c r="C76" s="6">
        <f>IF($D$59=0,0,B76/$D$59)</f>
        <v/>
      </c>
    </row>
    <row r="77">
      <c r="A77" s="4" t="inlineStr">
        <is>
          <t>Veterinaria</t>
        </is>
      </c>
      <c r="B77" s="35">
        <f>SUMIF($B$29:$B$58,A77,$D$29:$D$58)</f>
        <v/>
      </c>
      <c r="C77" s="6">
        <f>IF($D$59=0,0,B77/$D$59)</f>
        <v/>
      </c>
    </row>
    <row r="78">
      <c r="A78" s="4" t="inlineStr">
        <is>
          <t>Farmacia</t>
        </is>
      </c>
      <c r="B78" s="35">
        <f>SUMIF($B$29:$B$58,A78,$D$29:$D$58)</f>
        <v/>
      </c>
      <c r="C78" s="6">
        <f>IF($D$59=0,0,B78/$D$59)</f>
        <v/>
      </c>
    </row>
    <row r="79">
      <c r="A79" s="4" t="inlineStr">
        <is>
          <t>Viaje</t>
        </is>
      </c>
      <c r="B79" s="35">
        <f>SUMIF($B$29:$B$58,A79,$D$29:$D$58)</f>
        <v/>
      </c>
      <c r="C79" s="6">
        <f>IF($D$59=0,0,B79/$D$59)</f>
        <v/>
      </c>
    </row>
    <row r="80">
      <c r="A80" s="4" t="inlineStr">
        <is>
          <t>Trámites</t>
        </is>
      </c>
      <c r="B80" s="35">
        <f>SUMIF($B$29:$B$58,A80,$D$29:$D$58)</f>
        <v/>
      </c>
      <c r="C80" s="6">
        <f>IF($D$59=0,0,B80/$D$59)</f>
        <v/>
      </c>
    </row>
    <row r="81">
      <c r="A81" s="4" t="inlineStr">
        <is>
          <t>Otros</t>
        </is>
      </c>
      <c r="B81" s="35">
        <f>SUMIF($B$29:$B$58,A81,$D$29:$D$58)</f>
        <v/>
      </c>
      <c r="C81" s="6">
        <f>IF($D$59=0,0,B81/$D$59)</f>
        <v/>
      </c>
    </row>
    <row r="82">
      <c r="A82" s="36" t="inlineStr">
        <is>
          <t>Top categoría</t>
        </is>
      </c>
      <c r="B82" s="37">
        <f>IFERROR(INDEX(A69:A81,MATCH(MAX(B69:B81),B69:B81,0)),"-")</f>
        <v/>
      </c>
      <c r="C82" s="38">
        <f>MAX(B69:B81)</f>
        <v/>
      </c>
    </row>
    <row r="84">
      <c r="A84" s="39" t="inlineStr">
        <is>
          <t>SUGERIDO PARA EL MES SIGUIENTE  ·  según lo gastado este mes</t>
        </is>
      </c>
    </row>
    <row r="85">
      <c r="A85" s="40" t="inlineStr">
        <is>
          <t>Base (gasto del mes)</t>
        </is>
      </c>
      <c r="B85" s="40" t="inlineStr">
        <is>
          <t>% Loli</t>
        </is>
      </c>
      <c r="C85" s="40" t="inlineStr">
        <is>
          <t>% Tito</t>
        </is>
      </c>
      <c r="D85" s="40" t="inlineStr">
        <is>
          <t>Sugerido Loli</t>
        </is>
      </c>
      <c r="E85" s="40" t="inlineStr">
        <is>
          <t>Sugerido Tito</t>
        </is>
      </c>
    </row>
    <row r="86">
      <c r="A86" s="41">
        <f>$B$25+$D$59</f>
        <v/>
      </c>
      <c r="B86" s="42">
        <f>PCT_LOLI</f>
        <v/>
      </c>
      <c r="C86" s="42">
        <f>PCT_TITO</f>
        <v/>
      </c>
      <c r="D86" s="43">
        <f>A86*B86</f>
        <v/>
      </c>
      <c r="E86" s="43">
        <f>A86*C86</f>
        <v/>
      </c>
    </row>
    <row r="87" ht="26" customHeight="1">
      <c r="A87" s="16" t="inlineStr">
        <is>
          <t>Idea: para no quedar cortos, cada uno aporta aprox. lo que le tocó este mes según el split 40/60. Si querés margen, subí un 10-15%.</t>
        </is>
      </c>
    </row>
  </sheetData>
  <mergeCells count="8">
    <mergeCell ref="A84:G84"/>
    <mergeCell ref="A1:G1"/>
    <mergeCell ref="A27:G27"/>
    <mergeCell ref="A8:G8"/>
    <mergeCell ref="A3:G3"/>
    <mergeCell ref="A87:G87"/>
    <mergeCell ref="A62:G62"/>
    <mergeCell ref="A60:G60"/>
  </mergeCells>
  <dataValidations count="2">
    <dataValidation sqref="C10:C24 E29:E58" showDropDown="0" showInputMessage="0" showErrorMessage="0" allowBlank="1" type="list">
      <formula1>"AMEX Loli,AMEX Tito,Transferencia,Efectivo"</formula1>
    </dataValidation>
    <dataValidation sqref="C29:C58" showDropDown="0" showInputMessage="0" showErrorMessage="0" allowBlank="1" type="list">
      <formula1>"Núñez,Pilar,Ambos"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87"/>
  <sheetViews>
    <sheetView showGridLines="0" workbookViewId="0">
      <selection activeCell="A1" sqref="A1"/>
    </sheetView>
  </sheetViews>
  <sheetFormatPr baseColWidth="8" defaultRowHeight="15"/>
  <cols>
    <col width="30" customWidth="1" min="1" max="1"/>
    <col width="14" customWidth="1" min="2" max="2"/>
    <col width="12" customWidth="1" min="3" max="3"/>
    <col width="14" customWidth="1" min="4" max="4"/>
    <col width="16" customWidth="1" min="5" max="5"/>
    <col width="14" customWidth="1" min="6" max="6"/>
    <col width="14" customWidth="1" min="7" max="7"/>
  </cols>
  <sheetData>
    <row r="1" ht="30" customHeight="1">
      <c r="A1" s="1" t="inlineStr">
        <is>
          <t>DICIEMBRE 2026</t>
        </is>
      </c>
    </row>
    <row r="3">
      <c r="A3" s="2" t="inlineStr">
        <is>
          <t>CONTROL DEL MES</t>
        </is>
      </c>
    </row>
    <row r="4" ht="26" customHeight="1">
      <c r="A4" s="17" t="inlineStr">
        <is>
          <t>Aporte Loli</t>
        </is>
      </c>
      <c r="B4" s="17" t="inlineStr">
        <is>
          <t>Aporte Tito</t>
        </is>
      </c>
      <c r="C4" s="17" t="inlineStr">
        <is>
          <t>Sobró del mes anterior</t>
        </is>
      </c>
      <c r="D4" s="17">
        <f> Total disponible</f>
        <v/>
      </c>
      <c r="E4" s="17" t="inlineStr">
        <is>
          <t>Total gastado</t>
        </is>
      </c>
      <c r="F4" s="18" t="inlineStr">
        <is>
          <t>FALTÓ</t>
        </is>
      </c>
      <c r="G4" s="19" t="inlineStr">
        <is>
          <t>SOBRÓ (pasa →)</t>
        </is>
      </c>
    </row>
    <row r="5">
      <c r="A5" s="20" t="n">
        <v>0</v>
      </c>
      <c r="B5" s="20" t="n">
        <v>0</v>
      </c>
      <c r="C5" s="20">
        <f>'NOVIEMBRE'!$G$5</f>
        <v/>
      </c>
      <c r="D5" s="21">
        <f>A5+B5+C5</f>
        <v/>
      </c>
      <c r="E5" s="21">
        <f>B25+D59</f>
        <v/>
      </c>
      <c r="F5" s="22">
        <f>MAX(0,E5-D5)</f>
        <v/>
      </c>
      <c r="G5" s="23">
        <f>MAX(0,D5-E5)</f>
        <v/>
      </c>
    </row>
    <row r="6"/>
    <row r="8">
      <c r="A8" s="24" t="inlineStr">
        <is>
          <t>GASTOS FIJOS   ·   monto y medio de pago</t>
        </is>
      </c>
    </row>
    <row r="9">
      <c r="A9" s="25" t="inlineStr">
        <is>
          <t>Concepto</t>
        </is>
      </c>
      <c r="B9" s="25" t="inlineStr">
        <is>
          <t>Monto</t>
        </is>
      </c>
      <c r="C9" s="25" t="inlineStr">
        <is>
          <t>Medio de pago</t>
        </is>
      </c>
    </row>
    <row r="10">
      <c r="A10" s="4" t="inlineStr">
        <is>
          <t>Expensas Núñez</t>
        </is>
      </c>
      <c r="B10" s="15" t="n"/>
      <c r="C10" s="26" t="inlineStr"/>
    </row>
    <row r="11">
      <c r="A11" s="4" t="inlineStr">
        <is>
          <t>Expensas Pilar</t>
        </is>
      </c>
      <c r="B11" s="15" t="n"/>
      <c r="C11" s="26" t="inlineStr"/>
    </row>
    <row r="12">
      <c r="A12" s="4" t="inlineStr">
        <is>
          <t>Luz Núñez</t>
        </is>
      </c>
      <c r="B12" s="15" t="n"/>
      <c r="C12" s="26" t="inlineStr"/>
    </row>
    <row r="13">
      <c r="A13" s="4" t="inlineStr">
        <is>
          <t>Luz Pilar</t>
        </is>
      </c>
      <c r="B13" s="15" t="n"/>
      <c r="C13" s="26" t="inlineStr"/>
    </row>
    <row r="14">
      <c r="A14" s="4" t="inlineStr">
        <is>
          <t>Wifi Núñez</t>
        </is>
      </c>
      <c r="B14" s="15" t="n"/>
      <c r="C14" s="26" t="inlineStr"/>
    </row>
    <row r="15">
      <c r="A15" s="4" t="inlineStr">
        <is>
          <t>Wifi Pilar</t>
        </is>
      </c>
      <c r="B15" s="15" t="n"/>
      <c r="C15" s="26" t="inlineStr"/>
    </row>
    <row r="16">
      <c r="A16" s="4" t="inlineStr">
        <is>
          <t>Paseadora Antonio</t>
        </is>
      </c>
      <c r="B16" s="15" t="n"/>
      <c r="C16" s="26" t="inlineStr"/>
    </row>
    <row r="17">
      <c r="A17" s="4" t="inlineStr">
        <is>
          <t>Limpieza Núñez</t>
        </is>
      </c>
      <c r="B17" s="15" t="n"/>
      <c r="C17" s="26" t="inlineStr"/>
    </row>
    <row r="18">
      <c r="A18" s="4" t="inlineStr">
        <is>
          <t>Limpieza Pilar</t>
        </is>
      </c>
      <c r="B18" s="15" t="n"/>
      <c r="C18" s="26" t="inlineStr"/>
    </row>
    <row r="19">
      <c r="A19" s="4" t="inlineStr">
        <is>
          <t>Netflix</t>
        </is>
      </c>
      <c r="B19" s="15" t="n"/>
      <c r="C19" s="26" t="inlineStr"/>
    </row>
    <row r="20">
      <c r="A20" s="4" t="inlineStr">
        <is>
          <t>Pilates</t>
        </is>
      </c>
      <c r="B20" s="15" t="n"/>
      <c r="C20" s="26" t="inlineStr"/>
    </row>
    <row r="21">
      <c r="A21" s="27" t="n"/>
      <c r="B21" s="15" t="n"/>
      <c r="C21" s="26" t="n"/>
    </row>
    <row r="22">
      <c r="A22" s="27" t="n"/>
      <c r="B22" s="15" t="n"/>
      <c r="C22" s="26" t="n"/>
    </row>
    <row r="23">
      <c r="A23" s="27" t="n"/>
      <c r="B23" s="15" t="n"/>
      <c r="C23" s="26" t="n"/>
    </row>
    <row r="24">
      <c r="A24" s="27" t="n"/>
      <c r="B24" s="15" t="n"/>
      <c r="C24" s="26" t="n"/>
    </row>
    <row r="25">
      <c r="A25" s="7" t="inlineStr">
        <is>
          <t>Subtotal fijos</t>
        </is>
      </c>
      <c r="B25" s="8">
        <f>SUM(B10:B24)</f>
        <v/>
      </c>
      <c r="C25" s="10" t="n"/>
    </row>
    <row r="27">
      <c r="A27" s="24" t="inlineStr">
        <is>
          <t>GASTOS AMEX / TARJETA   ·   por categoría (se acomoda solo)</t>
        </is>
      </c>
    </row>
    <row r="28">
      <c r="A28" s="25" t="inlineStr">
        <is>
          <t>Detalle / Comercio</t>
        </is>
      </c>
      <c r="B28" s="25" t="inlineStr">
        <is>
          <t>Categoría (auto)</t>
        </is>
      </c>
      <c r="C28" s="25" t="inlineStr">
        <is>
          <t>Casa</t>
        </is>
      </c>
      <c r="D28" s="25" t="inlineStr">
        <is>
          <t>Monto</t>
        </is>
      </c>
      <c r="E28" s="25" t="inlineStr">
        <is>
          <t>Medio de pago</t>
        </is>
      </c>
    </row>
    <row r="29">
      <c r="A29" s="4" t="n"/>
      <c r="B29" s="28">
        <f>IF($A29="","",IFERROR(LOOKUP(2,1/((ISNUMBER(SEARCH(CONFIG!$A$3:$A$94,$A29)))*(CONFIG!$A$3:$A$94&lt;&gt;"")),CONFIG!$B$3:$B$94),"Otros"))</f>
        <v/>
      </c>
      <c r="C29" s="26" t="n"/>
      <c r="D29" s="15" t="n"/>
      <c r="E29" s="26" t="n"/>
    </row>
    <row r="30">
      <c r="A30" s="4" t="n"/>
      <c r="B30" s="28">
        <f>IF($A30="","",IFERROR(LOOKUP(2,1/((ISNUMBER(SEARCH(CONFIG!$A$3:$A$94,$A30)))*(CONFIG!$A$3:$A$94&lt;&gt;"")),CONFIG!$B$3:$B$94),"Otros"))</f>
        <v/>
      </c>
      <c r="C30" s="26" t="n"/>
      <c r="D30" s="15" t="n"/>
      <c r="E30" s="26" t="n"/>
    </row>
    <row r="31">
      <c r="A31" s="4" t="n"/>
      <c r="B31" s="28">
        <f>IF($A31="","",IFERROR(LOOKUP(2,1/((ISNUMBER(SEARCH(CONFIG!$A$3:$A$94,$A31)))*(CONFIG!$A$3:$A$94&lt;&gt;"")),CONFIG!$B$3:$B$94),"Otros"))</f>
        <v/>
      </c>
      <c r="C31" s="26" t="n"/>
      <c r="D31" s="15" t="n"/>
      <c r="E31" s="26" t="n"/>
    </row>
    <row r="32">
      <c r="A32" s="4" t="n"/>
      <c r="B32" s="28">
        <f>IF($A32="","",IFERROR(LOOKUP(2,1/((ISNUMBER(SEARCH(CONFIG!$A$3:$A$94,$A32)))*(CONFIG!$A$3:$A$94&lt;&gt;"")),CONFIG!$B$3:$B$94),"Otros"))</f>
        <v/>
      </c>
      <c r="C32" s="26" t="n"/>
      <c r="D32" s="15" t="n"/>
      <c r="E32" s="26" t="n"/>
    </row>
    <row r="33">
      <c r="A33" s="4" t="n"/>
      <c r="B33" s="28">
        <f>IF($A33="","",IFERROR(LOOKUP(2,1/((ISNUMBER(SEARCH(CONFIG!$A$3:$A$94,$A33)))*(CONFIG!$A$3:$A$94&lt;&gt;"")),CONFIG!$B$3:$B$94),"Otros"))</f>
        <v/>
      </c>
      <c r="C33" s="26" t="n"/>
      <c r="D33" s="15" t="n"/>
      <c r="E33" s="26" t="n"/>
    </row>
    <row r="34">
      <c r="A34" s="4" t="n"/>
      <c r="B34" s="28">
        <f>IF($A34="","",IFERROR(LOOKUP(2,1/((ISNUMBER(SEARCH(CONFIG!$A$3:$A$94,$A34)))*(CONFIG!$A$3:$A$94&lt;&gt;"")),CONFIG!$B$3:$B$94),"Otros"))</f>
        <v/>
      </c>
      <c r="C34" s="26" t="n"/>
      <c r="D34" s="15" t="n"/>
      <c r="E34" s="26" t="n"/>
    </row>
    <row r="35">
      <c r="A35" s="4" t="n"/>
      <c r="B35" s="28">
        <f>IF($A35="","",IFERROR(LOOKUP(2,1/((ISNUMBER(SEARCH(CONFIG!$A$3:$A$94,$A35)))*(CONFIG!$A$3:$A$94&lt;&gt;"")),CONFIG!$B$3:$B$94),"Otros"))</f>
        <v/>
      </c>
      <c r="C35" s="26" t="n"/>
      <c r="D35" s="15" t="n"/>
      <c r="E35" s="26" t="n"/>
    </row>
    <row r="36">
      <c r="A36" s="4" t="n"/>
      <c r="B36" s="28">
        <f>IF($A36="","",IFERROR(LOOKUP(2,1/((ISNUMBER(SEARCH(CONFIG!$A$3:$A$94,$A36)))*(CONFIG!$A$3:$A$94&lt;&gt;"")),CONFIG!$B$3:$B$94),"Otros"))</f>
        <v/>
      </c>
      <c r="C36" s="26" t="n"/>
      <c r="D36" s="15" t="n"/>
      <c r="E36" s="26" t="n"/>
    </row>
    <row r="37">
      <c r="A37" s="4" t="n"/>
      <c r="B37" s="28">
        <f>IF($A37="","",IFERROR(LOOKUP(2,1/((ISNUMBER(SEARCH(CONFIG!$A$3:$A$94,$A37)))*(CONFIG!$A$3:$A$94&lt;&gt;"")),CONFIG!$B$3:$B$94),"Otros"))</f>
        <v/>
      </c>
      <c r="C37" s="26" t="n"/>
      <c r="D37" s="15" t="n"/>
      <c r="E37" s="26" t="n"/>
    </row>
    <row r="38">
      <c r="A38" s="4" t="n"/>
      <c r="B38" s="28">
        <f>IF($A38="","",IFERROR(LOOKUP(2,1/((ISNUMBER(SEARCH(CONFIG!$A$3:$A$94,$A38)))*(CONFIG!$A$3:$A$94&lt;&gt;"")),CONFIG!$B$3:$B$94),"Otros"))</f>
        <v/>
      </c>
      <c r="C38" s="26" t="n"/>
      <c r="D38" s="15" t="n"/>
      <c r="E38" s="26" t="n"/>
    </row>
    <row r="39">
      <c r="A39" s="4" t="n"/>
      <c r="B39" s="28">
        <f>IF($A39="","",IFERROR(LOOKUP(2,1/((ISNUMBER(SEARCH(CONFIG!$A$3:$A$94,$A39)))*(CONFIG!$A$3:$A$94&lt;&gt;"")),CONFIG!$B$3:$B$94),"Otros"))</f>
        <v/>
      </c>
      <c r="C39" s="26" t="n"/>
      <c r="D39" s="15" t="n"/>
      <c r="E39" s="26" t="n"/>
    </row>
    <row r="40">
      <c r="A40" s="4" t="n"/>
      <c r="B40" s="28">
        <f>IF($A40="","",IFERROR(LOOKUP(2,1/((ISNUMBER(SEARCH(CONFIG!$A$3:$A$94,$A40)))*(CONFIG!$A$3:$A$94&lt;&gt;"")),CONFIG!$B$3:$B$94),"Otros"))</f>
        <v/>
      </c>
      <c r="C40" s="26" t="n"/>
      <c r="D40" s="15" t="n"/>
      <c r="E40" s="26" t="n"/>
    </row>
    <row r="41">
      <c r="A41" s="4" t="n"/>
      <c r="B41" s="28">
        <f>IF($A41="","",IFERROR(LOOKUP(2,1/((ISNUMBER(SEARCH(CONFIG!$A$3:$A$94,$A41)))*(CONFIG!$A$3:$A$94&lt;&gt;"")),CONFIG!$B$3:$B$94),"Otros"))</f>
        <v/>
      </c>
      <c r="C41" s="26" t="n"/>
      <c r="D41" s="15" t="n"/>
      <c r="E41" s="26" t="n"/>
    </row>
    <row r="42">
      <c r="A42" s="4" t="n"/>
      <c r="B42" s="28">
        <f>IF($A42="","",IFERROR(LOOKUP(2,1/((ISNUMBER(SEARCH(CONFIG!$A$3:$A$94,$A42)))*(CONFIG!$A$3:$A$94&lt;&gt;"")),CONFIG!$B$3:$B$94),"Otros"))</f>
        <v/>
      </c>
      <c r="C42" s="26" t="n"/>
      <c r="D42" s="15" t="n"/>
      <c r="E42" s="26" t="n"/>
    </row>
    <row r="43">
      <c r="A43" s="4" t="n"/>
      <c r="B43" s="28">
        <f>IF($A43="","",IFERROR(LOOKUP(2,1/((ISNUMBER(SEARCH(CONFIG!$A$3:$A$94,$A43)))*(CONFIG!$A$3:$A$94&lt;&gt;"")),CONFIG!$B$3:$B$94),"Otros"))</f>
        <v/>
      </c>
      <c r="C43" s="26" t="n"/>
      <c r="D43" s="15" t="n"/>
      <c r="E43" s="26" t="n"/>
    </row>
    <row r="44">
      <c r="A44" s="4" t="n"/>
      <c r="B44" s="28">
        <f>IF($A44="","",IFERROR(LOOKUP(2,1/((ISNUMBER(SEARCH(CONFIG!$A$3:$A$94,$A44)))*(CONFIG!$A$3:$A$94&lt;&gt;"")),CONFIG!$B$3:$B$94),"Otros"))</f>
        <v/>
      </c>
      <c r="C44" s="26" t="n"/>
      <c r="D44" s="15" t="n"/>
      <c r="E44" s="26" t="n"/>
    </row>
    <row r="45">
      <c r="A45" s="4" t="n"/>
      <c r="B45" s="28">
        <f>IF($A45="","",IFERROR(LOOKUP(2,1/((ISNUMBER(SEARCH(CONFIG!$A$3:$A$94,$A45)))*(CONFIG!$A$3:$A$94&lt;&gt;"")),CONFIG!$B$3:$B$94),"Otros"))</f>
        <v/>
      </c>
      <c r="C45" s="26" t="n"/>
      <c r="D45" s="15" t="n"/>
      <c r="E45" s="26" t="n"/>
    </row>
    <row r="46">
      <c r="A46" s="4" t="n"/>
      <c r="B46" s="28">
        <f>IF($A46="","",IFERROR(LOOKUP(2,1/((ISNUMBER(SEARCH(CONFIG!$A$3:$A$94,$A46)))*(CONFIG!$A$3:$A$94&lt;&gt;"")),CONFIG!$B$3:$B$94),"Otros"))</f>
        <v/>
      </c>
      <c r="C46" s="26" t="n"/>
      <c r="D46" s="15" t="n"/>
      <c r="E46" s="26" t="n"/>
    </row>
    <row r="47">
      <c r="A47" s="4" t="n"/>
      <c r="B47" s="28">
        <f>IF($A47="","",IFERROR(LOOKUP(2,1/((ISNUMBER(SEARCH(CONFIG!$A$3:$A$94,$A47)))*(CONFIG!$A$3:$A$94&lt;&gt;"")),CONFIG!$B$3:$B$94),"Otros"))</f>
        <v/>
      </c>
      <c r="C47" s="26" t="n"/>
      <c r="D47" s="15" t="n"/>
      <c r="E47" s="26" t="n"/>
    </row>
    <row r="48">
      <c r="A48" s="4" t="n"/>
      <c r="B48" s="28">
        <f>IF($A48="","",IFERROR(LOOKUP(2,1/((ISNUMBER(SEARCH(CONFIG!$A$3:$A$94,$A48)))*(CONFIG!$A$3:$A$94&lt;&gt;"")),CONFIG!$B$3:$B$94),"Otros"))</f>
        <v/>
      </c>
      <c r="C48" s="26" t="n"/>
      <c r="D48" s="15" t="n"/>
      <c r="E48" s="26" t="n"/>
    </row>
    <row r="49">
      <c r="A49" s="4" t="n"/>
      <c r="B49" s="28">
        <f>IF($A49="","",IFERROR(LOOKUP(2,1/((ISNUMBER(SEARCH(CONFIG!$A$3:$A$94,$A49)))*(CONFIG!$A$3:$A$94&lt;&gt;"")),CONFIG!$B$3:$B$94),"Otros"))</f>
        <v/>
      </c>
      <c r="C49" s="26" t="n"/>
      <c r="D49" s="15" t="n"/>
      <c r="E49" s="26" t="n"/>
    </row>
    <row r="50">
      <c r="A50" s="4" t="n"/>
      <c r="B50" s="28">
        <f>IF($A50="","",IFERROR(LOOKUP(2,1/((ISNUMBER(SEARCH(CONFIG!$A$3:$A$94,$A50)))*(CONFIG!$A$3:$A$94&lt;&gt;"")),CONFIG!$B$3:$B$94),"Otros"))</f>
        <v/>
      </c>
      <c r="C50" s="26" t="n"/>
      <c r="D50" s="15" t="n"/>
      <c r="E50" s="26" t="n"/>
    </row>
    <row r="51">
      <c r="A51" s="4" t="n"/>
      <c r="B51" s="28">
        <f>IF($A51="","",IFERROR(LOOKUP(2,1/((ISNUMBER(SEARCH(CONFIG!$A$3:$A$94,$A51)))*(CONFIG!$A$3:$A$94&lt;&gt;"")),CONFIG!$B$3:$B$94),"Otros"))</f>
        <v/>
      </c>
      <c r="C51" s="26" t="n"/>
      <c r="D51" s="15" t="n"/>
      <c r="E51" s="26" t="n"/>
    </row>
    <row r="52">
      <c r="A52" s="4" t="n"/>
      <c r="B52" s="28">
        <f>IF($A52="","",IFERROR(LOOKUP(2,1/((ISNUMBER(SEARCH(CONFIG!$A$3:$A$94,$A52)))*(CONFIG!$A$3:$A$94&lt;&gt;"")),CONFIG!$B$3:$B$94),"Otros"))</f>
        <v/>
      </c>
      <c r="C52" s="26" t="n"/>
      <c r="D52" s="15" t="n"/>
      <c r="E52" s="26" t="n"/>
    </row>
    <row r="53">
      <c r="A53" s="4" t="n"/>
      <c r="B53" s="28">
        <f>IF($A53="","",IFERROR(LOOKUP(2,1/((ISNUMBER(SEARCH(CONFIG!$A$3:$A$94,$A53)))*(CONFIG!$A$3:$A$94&lt;&gt;"")),CONFIG!$B$3:$B$94),"Otros"))</f>
        <v/>
      </c>
      <c r="C53" s="26" t="n"/>
      <c r="D53" s="15" t="n"/>
      <c r="E53" s="26" t="n"/>
    </row>
    <row r="54">
      <c r="A54" s="4" t="n"/>
      <c r="B54" s="28">
        <f>IF($A54="","",IFERROR(LOOKUP(2,1/((ISNUMBER(SEARCH(CONFIG!$A$3:$A$94,$A54)))*(CONFIG!$A$3:$A$94&lt;&gt;"")),CONFIG!$B$3:$B$94),"Otros"))</f>
        <v/>
      </c>
      <c r="C54" s="26" t="n"/>
      <c r="D54" s="15" t="n"/>
      <c r="E54" s="26" t="n"/>
    </row>
    <row r="55">
      <c r="A55" s="4" t="n"/>
      <c r="B55" s="28">
        <f>IF($A55="","",IFERROR(LOOKUP(2,1/((ISNUMBER(SEARCH(CONFIG!$A$3:$A$94,$A55)))*(CONFIG!$A$3:$A$94&lt;&gt;"")),CONFIG!$B$3:$B$94),"Otros"))</f>
        <v/>
      </c>
      <c r="C55" s="26" t="n"/>
      <c r="D55" s="15" t="n"/>
      <c r="E55" s="26" t="n"/>
    </row>
    <row r="56">
      <c r="A56" s="4" t="n"/>
      <c r="B56" s="28">
        <f>IF($A56="","",IFERROR(LOOKUP(2,1/((ISNUMBER(SEARCH(CONFIG!$A$3:$A$94,$A56)))*(CONFIG!$A$3:$A$94&lt;&gt;"")),CONFIG!$B$3:$B$94),"Otros"))</f>
        <v/>
      </c>
      <c r="C56" s="26" t="n"/>
      <c r="D56" s="15" t="n"/>
      <c r="E56" s="26" t="n"/>
    </row>
    <row r="57">
      <c r="A57" s="4" t="n"/>
      <c r="B57" s="28">
        <f>IF($A57="","",IFERROR(LOOKUP(2,1/((ISNUMBER(SEARCH(CONFIG!$A$3:$A$94,$A57)))*(CONFIG!$A$3:$A$94&lt;&gt;"")),CONFIG!$B$3:$B$94),"Otros"))</f>
        <v/>
      </c>
      <c r="C57" s="26" t="n"/>
      <c r="D57" s="15" t="n"/>
      <c r="E57" s="26" t="n"/>
    </row>
    <row r="58">
      <c r="A58" s="4" t="n"/>
      <c r="B58" s="28">
        <f>IF($A58="","",IFERROR(LOOKUP(2,1/((ISNUMBER(SEARCH(CONFIG!$A$3:$A$94,$A58)))*(CONFIG!$A$3:$A$94&lt;&gt;"")),CONFIG!$B$3:$B$94),"Otros"))</f>
        <v/>
      </c>
      <c r="C58" s="26" t="n"/>
      <c r="D58" s="15" t="n"/>
      <c r="E58" s="26" t="n"/>
    </row>
    <row r="59">
      <c r="A59" s="7" t="inlineStr">
        <is>
          <t>Subtotal AMEX / tarjeta</t>
        </is>
      </c>
      <c r="B59" s="10" t="n"/>
      <c r="C59" s="10" t="n"/>
      <c r="D59" s="8">
        <f>SUM(D29:D58)</f>
        <v/>
      </c>
      <c r="E59" s="10" t="n"/>
    </row>
    <row r="60" ht="28" customHeight="1">
      <c r="A60" s="16" t="inlineStr">
        <is>
          <t>➤ Pegá acá el resumen de la AMEX (Detalle + Monto). La categoría se completa sola según el mapa de la hoja CONFIG. No hace falta crear otro archivo.</t>
        </is>
      </c>
    </row>
    <row r="62">
      <c r="A62" s="29" t="inlineStr">
        <is>
          <t>RESUMEN · EN QUÉ SE GASTÓ MÁS</t>
        </is>
      </c>
    </row>
    <row r="63">
      <c r="A63" s="7" t="inlineStr">
        <is>
          <t>Por sección</t>
        </is>
      </c>
      <c r="B63" s="7" t="inlineStr">
        <is>
          <t>Monto</t>
        </is>
      </c>
      <c r="C63" s="30" t="inlineStr">
        <is>
          <t>% del total</t>
        </is>
      </c>
    </row>
    <row r="64">
      <c r="A64" s="4" t="inlineStr">
        <is>
          <t>Gastos fijos</t>
        </is>
      </c>
      <c r="B64" s="31">
        <f>$B$25</f>
        <v/>
      </c>
      <c r="C64" s="6">
        <f>IF(($B$25+$D$59)=0,0,($B$25)/($B$25+$D$59))</f>
        <v/>
      </c>
    </row>
    <row r="65">
      <c r="A65" s="4" t="inlineStr">
        <is>
          <t>Gastos AMEX / tarjeta</t>
        </is>
      </c>
      <c r="B65" s="31">
        <f>$D$59</f>
        <v/>
      </c>
      <c r="C65" s="6">
        <f>IF(($B$25+$D$59)=0,0,($D$59)/($B$25+$D$59))</f>
        <v/>
      </c>
    </row>
    <row r="66">
      <c r="A66" s="32" t="inlineStr">
        <is>
          <t>TOTAL</t>
        </is>
      </c>
      <c r="B66" s="33">
        <f>$B$25+$D$59</f>
        <v/>
      </c>
      <c r="C66" s="34">
        <f>IF(($B$25+$D$59)=0,0,1)</f>
        <v/>
      </c>
    </row>
    <row r="68">
      <c r="A68" s="7" t="inlineStr">
        <is>
          <t>Por categoría (AMEX / tarjeta)</t>
        </is>
      </c>
      <c r="B68" s="30" t="inlineStr">
        <is>
          <t>Monto</t>
        </is>
      </c>
      <c r="C68" s="30" t="inlineStr">
        <is>
          <t>% AMEX</t>
        </is>
      </c>
    </row>
    <row r="69">
      <c r="A69" s="4" t="inlineStr">
        <is>
          <t>Supermercado</t>
        </is>
      </c>
      <c r="B69" s="35">
        <f>SUMIF($B$29:$B$58,A69,$D$29:$D$58)</f>
        <v/>
      </c>
      <c r="C69" s="6">
        <f>IF($D$59=0,0,B69/$D$59)</f>
        <v/>
      </c>
    </row>
    <row r="70">
      <c r="A70" s="4" t="inlineStr">
        <is>
          <t>Verdulería</t>
        </is>
      </c>
      <c r="B70" s="35">
        <f>SUMIF($B$29:$B$58,A70,$D$29:$D$58)</f>
        <v/>
      </c>
      <c r="C70" s="6">
        <f>IF($D$59=0,0,B70/$D$59)</f>
        <v/>
      </c>
    </row>
    <row r="71">
      <c r="A71" s="4" t="inlineStr">
        <is>
          <t>Delivery</t>
        </is>
      </c>
      <c r="B71" s="35">
        <f>SUMIF($B$29:$B$58,A71,$D$29:$D$58)</f>
        <v/>
      </c>
      <c r="C71" s="6">
        <f>IF($D$59=0,0,B71/$D$59)</f>
        <v/>
      </c>
    </row>
    <row r="72">
      <c r="A72" s="4" t="inlineStr">
        <is>
          <t>Cafecito</t>
        </is>
      </c>
      <c r="B72" s="35">
        <f>SUMIF($B$29:$B$58,A72,$D$29:$D$58)</f>
        <v/>
      </c>
      <c r="C72" s="6">
        <f>IF($D$59=0,0,B72/$D$59)</f>
        <v/>
      </c>
    </row>
    <row r="73">
      <c r="A73" s="4" t="inlineStr">
        <is>
          <t>Restaurant</t>
        </is>
      </c>
      <c r="B73" s="35">
        <f>SUMIF($B$29:$B$58,A73,$D$29:$D$58)</f>
        <v/>
      </c>
      <c r="C73" s="6">
        <f>IF($D$59=0,0,B73/$D$59)</f>
        <v/>
      </c>
    </row>
    <row r="74">
      <c r="A74" s="4" t="inlineStr">
        <is>
          <t>Salida</t>
        </is>
      </c>
      <c r="B74" s="35">
        <f>SUMIF($B$29:$B$58,A74,$D$29:$D$58)</f>
        <v/>
      </c>
      <c r="C74" s="6">
        <f>IF($D$59=0,0,B74/$D$59)</f>
        <v/>
      </c>
    </row>
    <row r="75">
      <c r="A75" s="4" t="inlineStr">
        <is>
          <t>Nafta</t>
        </is>
      </c>
      <c r="B75" s="35">
        <f>SUMIF($B$29:$B$58,A75,$D$29:$D$58)</f>
        <v/>
      </c>
      <c r="C75" s="6">
        <f>IF($D$59=0,0,B75/$D$59)</f>
        <v/>
      </c>
    </row>
    <row r="76">
      <c r="A76" s="4" t="inlineStr">
        <is>
          <t>Transporte</t>
        </is>
      </c>
      <c r="B76" s="35">
        <f>SUMIF($B$29:$B$58,A76,$D$29:$D$58)</f>
        <v/>
      </c>
      <c r="C76" s="6">
        <f>IF($D$59=0,0,B76/$D$59)</f>
        <v/>
      </c>
    </row>
    <row r="77">
      <c r="A77" s="4" t="inlineStr">
        <is>
          <t>Veterinaria</t>
        </is>
      </c>
      <c r="B77" s="35">
        <f>SUMIF($B$29:$B$58,A77,$D$29:$D$58)</f>
        <v/>
      </c>
      <c r="C77" s="6">
        <f>IF($D$59=0,0,B77/$D$59)</f>
        <v/>
      </c>
    </row>
    <row r="78">
      <c r="A78" s="4" t="inlineStr">
        <is>
          <t>Farmacia</t>
        </is>
      </c>
      <c r="B78" s="35">
        <f>SUMIF($B$29:$B$58,A78,$D$29:$D$58)</f>
        <v/>
      </c>
      <c r="C78" s="6">
        <f>IF($D$59=0,0,B78/$D$59)</f>
        <v/>
      </c>
    </row>
    <row r="79">
      <c r="A79" s="4" t="inlineStr">
        <is>
          <t>Viaje</t>
        </is>
      </c>
      <c r="B79" s="35">
        <f>SUMIF($B$29:$B$58,A79,$D$29:$D$58)</f>
        <v/>
      </c>
      <c r="C79" s="6">
        <f>IF($D$59=0,0,B79/$D$59)</f>
        <v/>
      </c>
    </row>
    <row r="80">
      <c r="A80" s="4" t="inlineStr">
        <is>
          <t>Trámites</t>
        </is>
      </c>
      <c r="B80" s="35">
        <f>SUMIF($B$29:$B$58,A80,$D$29:$D$58)</f>
        <v/>
      </c>
      <c r="C80" s="6">
        <f>IF($D$59=0,0,B80/$D$59)</f>
        <v/>
      </c>
    </row>
    <row r="81">
      <c r="A81" s="4" t="inlineStr">
        <is>
          <t>Otros</t>
        </is>
      </c>
      <c r="B81" s="35">
        <f>SUMIF($B$29:$B$58,A81,$D$29:$D$58)</f>
        <v/>
      </c>
      <c r="C81" s="6">
        <f>IF($D$59=0,0,B81/$D$59)</f>
        <v/>
      </c>
    </row>
    <row r="82">
      <c r="A82" s="36" t="inlineStr">
        <is>
          <t>Top categoría</t>
        </is>
      </c>
      <c r="B82" s="37">
        <f>IFERROR(INDEX(A69:A81,MATCH(MAX(B69:B81),B69:B81,0)),"-")</f>
        <v/>
      </c>
      <c r="C82" s="38">
        <f>MAX(B69:B81)</f>
        <v/>
      </c>
    </row>
    <row r="84">
      <c r="A84" s="39" t="inlineStr">
        <is>
          <t>SUGERIDO PARA EL MES SIGUIENTE  ·  según lo gastado este mes</t>
        </is>
      </c>
    </row>
    <row r="85">
      <c r="A85" s="40" t="inlineStr">
        <is>
          <t>Base (gasto del mes)</t>
        </is>
      </c>
      <c r="B85" s="40" t="inlineStr">
        <is>
          <t>% Loli</t>
        </is>
      </c>
      <c r="C85" s="40" t="inlineStr">
        <is>
          <t>% Tito</t>
        </is>
      </c>
      <c r="D85" s="40" t="inlineStr">
        <is>
          <t>Sugerido Loli</t>
        </is>
      </c>
      <c r="E85" s="40" t="inlineStr">
        <is>
          <t>Sugerido Tito</t>
        </is>
      </c>
    </row>
    <row r="86">
      <c r="A86" s="41">
        <f>$B$25+$D$59</f>
        <v/>
      </c>
      <c r="B86" s="42">
        <f>PCT_LOLI</f>
        <v/>
      </c>
      <c r="C86" s="42">
        <f>PCT_TITO</f>
        <v/>
      </c>
      <c r="D86" s="43">
        <f>A86*B86</f>
        <v/>
      </c>
      <c r="E86" s="43">
        <f>A86*C86</f>
        <v/>
      </c>
    </row>
    <row r="87" ht="26" customHeight="1">
      <c r="A87" s="16" t="inlineStr">
        <is>
          <t>Idea: para no quedar cortos, cada uno aporta aprox. lo que le tocó este mes según el split 40/60. Si querés margen, subí un 10-15%.</t>
        </is>
      </c>
    </row>
  </sheetData>
  <mergeCells count="8">
    <mergeCell ref="A84:G84"/>
    <mergeCell ref="A1:G1"/>
    <mergeCell ref="A27:G27"/>
    <mergeCell ref="A8:G8"/>
    <mergeCell ref="A3:G3"/>
    <mergeCell ref="A87:G87"/>
    <mergeCell ref="A62:G62"/>
    <mergeCell ref="A60:G60"/>
  </mergeCells>
  <dataValidations count="2">
    <dataValidation sqref="C10:C24 E29:E58" showDropDown="0" showInputMessage="0" showErrorMessage="0" allowBlank="1" type="list">
      <formula1>"AMEX Loli,AMEX Tito,Transferencia,Efectivo"</formula1>
    </dataValidation>
    <dataValidation sqref="C29:C58" showDropDown="0" showInputMessage="0" showErrorMessage="0" allowBlank="1" type="list">
      <formula1>"Núñez,Pilar,Ambos"</formula1>
    </dataValidation>
  </dataValidation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J8"/>
  <sheetViews>
    <sheetView showGridLines="0" workbookViewId="0">
      <selection activeCell="A1" sqref="A1"/>
    </sheetView>
  </sheetViews>
  <sheetFormatPr baseColWidth="8" defaultRowHeight="15"/>
  <cols>
    <col width="16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4" customWidth="1" min="10" max="10"/>
  </cols>
  <sheetData>
    <row r="1" ht="28" customHeight="1">
      <c r="A1" s="44" t="inlineStr">
        <is>
          <t>RESUMEN ANUAL · 2026</t>
        </is>
      </c>
    </row>
    <row r="3">
      <c r="A3" s="3" t="inlineStr">
        <is>
          <t>Concepto</t>
        </is>
      </c>
      <c r="B3" s="3" t="inlineStr">
        <is>
          <t>Jun</t>
        </is>
      </c>
      <c r="C3" s="3" t="inlineStr">
        <is>
          <t>Jul</t>
        </is>
      </c>
      <c r="D3" s="3" t="inlineStr">
        <is>
          <t>Ago</t>
        </is>
      </c>
      <c r="E3" s="3" t="inlineStr">
        <is>
          <t>Sep</t>
        </is>
      </c>
      <c r="F3" s="3" t="inlineStr">
        <is>
          <t>Oct</t>
        </is>
      </c>
      <c r="G3" s="3" t="inlineStr">
        <is>
          <t>Nov</t>
        </is>
      </c>
      <c r="H3" s="3" t="inlineStr">
        <is>
          <t>Dic</t>
        </is>
      </c>
      <c r="I3" s="25" t="inlineStr">
        <is>
          <t>TOTAL</t>
        </is>
      </c>
    </row>
    <row r="4">
      <c r="A4" s="7" t="inlineStr">
        <is>
          <t>Total gastado</t>
        </is>
      </c>
      <c r="B4" s="31">
        <f>'JUNIO'!$E$5</f>
        <v/>
      </c>
      <c r="C4" s="31">
        <f>'JULIO'!$E$5</f>
        <v/>
      </c>
      <c r="D4" s="31">
        <f>'AGOSTO'!$E$5</f>
        <v/>
      </c>
      <c r="E4" s="31">
        <f>'SEPTIEMBRE'!$E$5</f>
        <v/>
      </c>
      <c r="F4" s="31">
        <f>'OCTUBRE'!$E$5</f>
        <v/>
      </c>
      <c r="G4" s="31">
        <f>'NOVIEMBRE'!$E$5</f>
        <v/>
      </c>
      <c r="H4" s="31">
        <f>'DICIEMBRE'!$E$5</f>
        <v/>
      </c>
      <c r="I4" s="33">
        <f>SUM(B4:H4)</f>
        <v/>
      </c>
    </row>
    <row r="5">
      <c r="A5" s="7" t="inlineStr">
        <is>
          <t>Aporte Loli</t>
        </is>
      </c>
      <c r="B5" s="31">
        <f>'JUNIO'!$A$5</f>
        <v/>
      </c>
      <c r="C5" s="31">
        <f>'JULIO'!$A$5</f>
        <v/>
      </c>
      <c r="D5" s="31">
        <f>'AGOSTO'!$A$5</f>
        <v/>
      </c>
      <c r="E5" s="31">
        <f>'SEPTIEMBRE'!$A$5</f>
        <v/>
      </c>
      <c r="F5" s="31">
        <f>'OCTUBRE'!$A$5</f>
        <v/>
      </c>
      <c r="G5" s="31">
        <f>'NOVIEMBRE'!$A$5</f>
        <v/>
      </c>
      <c r="H5" s="31">
        <f>'DICIEMBRE'!$A$5</f>
        <v/>
      </c>
      <c r="I5" s="33">
        <f>SUM(B5:H5)</f>
        <v/>
      </c>
    </row>
    <row r="6">
      <c r="A6" s="7" t="inlineStr">
        <is>
          <t>Aporte Tito</t>
        </is>
      </c>
      <c r="B6" s="31">
        <f>'JUNIO'!$B$5</f>
        <v/>
      </c>
      <c r="C6" s="31">
        <f>'JULIO'!$B$5</f>
        <v/>
      </c>
      <c r="D6" s="31">
        <f>'AGOSTO'!$B$5</f>
        <v/>
      </c>
      <c r="E6" s="31">
        <f>'SEPTIEMBRE'!$B$5</f>
        <v/>
      </c>
      <c r="F6" s="31">
        <f>'OCTUBRE'!$B$5</f>
        <v/>
      </c>
      <c r="G6" s="31">
        <f>'NOVIEMBRE'!$B$5</f>
        <v/>
      </c>
      <c r="H6" s="31">
        <f>'DICIEMBRE'!$B$5</f>
        <v/>
      </c>
      <c r="I6" s="33">
        <f>SUM(B6:H6)</f>
        <v/>
      </c>
    </row>
    <row r="7">
      <c r="A7" s="45" t="inlineStr">
        <is>
          <t>Sobró (saldo a favor)</t>
        </is>
      </c>
      <c r="B7" s="46">
        <f>'JUNIO'!$G$5</f>
        <v/>
      </c>
      <c r="C7" s="46">
        <f>'JULIO'!$G$5</f>
        <v/>
      </c>
      <c r="D7" s="46">
        <f>'AGOSTO'!$G$5</f>
        <v/>
      </c>
      <c r="E7" s="46">
        <f>'SEPTIEMBRE'!$G$5</f>
        <v/>
      </c>
      <c r="F7" s="46">
        <f>'OCTUBRE'!$G$5</f>
        <v/>
      </c>
      <c r="G7" s="46">
        <f>'NOVIEMBRE'!$G$5</f>
        <v/>
      </c>
      <c r="H7" s="46">
        <f>'DICIEMBRE'!$G$5</f>
        <v/>
      </c>
      <c r="I7" s="33">
        <f>SUM(B7:H7)</f>
        <v/>
      </c>
    </row>
    <row r="8">
      <c r="A8" s="47" t="inlineStr">
        <is>
          <t>Faltó</t>
        </is>
      </c>
      <c r="B8" s="48">
        <f>'JUNIO'!$F$5</f>
        <v/>
      </c>
      <c r="C8" s="48">
        <f>'JULIO'!$F$5</f>
        <v/>
      </c>
      <c r="D8" s="48">
        <f>'AGOSTO'!$F$5</f>
        <v/>
      </c>
      <c r="E8" s="48">
        <f>'SEPTIEMBRE'!$F$5</f>
        <v/>
      </c>
      <c r="F8" s="48">
        <f>'OCTUBRE'!$F$5</f>
        <v/>
      </c>
      <c r="G8" s="48">
        <f>'NOVIEMBRE'!$F$5</f>
        <v/>
      </c>
      <c r="H8" s="48">
        <f>'DICIEMBRE'!$F$5</f>
        <v/>
      </c>
      <c r="I8" s="33">
        <f>SUM(B8:H8)</f>
        <v/>
      </c>
    </row>
  </sheetData>
  <mergeCells count="1">
    <mergeCell ref="A1:J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94"/>
  <sheetViews>
    <sheetView showGridLines="0" workbookViewId="0">
      <selection activeCell="A1" sqref="A1"/>
    </sheetView>
  </sheetViews>
  <sheetFormatPr baseColWidth="8" defaultRowHeight="15"/>
  <cols>
    <col width="34" customWidth="1" min="1" max="1"/>
    <col width="20" customWidth="1" min="2" max="2"/>
    <col width="16" customWidth="1" min="6" max="6"/>
    <col width="20" customWidth="1" min="8" max="8"/>
  </cols>
  <sheetData>
    <row r="1">
      <c r="A1" s="49" t="inlineStr">
        <is>
          <t>MAPA DE CATEGORÍAS · Resumen AMEX (auto)</t>
        </is>
      </c>
      <c r="F1" s="50" t="inlineStr">
        <is>
          <t>CATEGORÍAS</t>
        </is>
      </c>
    </row>
    <row r="2">
      <c r="A2" s="3" t="inlineStr">
        <is>
          <t>Palabra clave (aparece en el detalle)</t>
        </is>
      </c>
      <c r="B2" s="3" t="inlineStr">
        <is>
          <t>Categoría</t>
        </is>
      </c>
      <c r="F2" s="4" t="inlineStr">
        <is>
          <t>Supermercado</t>
        </is>
      </c>
      <c r="H2" s="16" t="inlineStr">
        <is>
          <t>Agregá acá abajo (en amarillo) cualquier comercio nuevo y su categoría. Los meses lo usan para acomodar solo el resumen de la AMEX.</t>
        </is>
      </c>
    </row>
    <row r="3">
      <c r="A3" s="4" t="inlineStr">
        <is>
          <t>rappi</t>
        </is>
      </c>
      <c r="B3" s="4" t="inlineStr">
        <is>
          <t>Delivery</t>
        </is>
      </c>
      <c r="F3" s="4" t="inlineStr">
        <is>
          <t>Verdulería</t>
        </is>
      </c>
    </row>
    <row r="4">
      <c r="A4" s="4" t="inlineStr">
        <is>
          <t>pedidos ya</t>
        </is>
      </c>
      <c r="B4" s="4" t="inlineStr">
        <is>
          <t>Delivery</t>
        </is>
      </c>
      <c r="F4" s="4" t="inlineStr">
        <is>
          <t>Delivery</t>
        </is>
      </c>
    </row>
    <row r="5">
      <c r="A5" s="4" t="inlineStr">
        <is>
          <t>pedidosya</t>
        </is>
      </c>
      <c r="B5" s="4" t="inlineStr">
        <is>
          <t>Delivery</t>
        </is>
      </c>
      <c r="F5" s="4" t="inlineStr">
        <is>
          <t>Cafecito</t>
        </is>
      </c>
    </row>
    <row r="6">
      <c r="A6" s="4" t="inlineStr">
        <is>
          <t>foodgolf</t>
        </is>
      </c>
      <c r="B6" s="4" t="inlineStr">
        <is>
          <t>Delivery</t>
        </is>
      </c>
      <c r="F6" s="4" t="inlineStr">
        <is>
          <t>Restaurant</t>
        </is>
      </c>
    </row>
    <row r="7">
      <c r="A7" s="4" t="inlineStr">
        <is>
          <t>dlorappi</t>
        </is>
      </c>
      <c r="B7" s="4" t="inlineStr">
        <is>
          <t>Delivery</t>
        </is>
      </c>
      <c r="F7" s="4" t="inlineStr">
        <is>
          <t>Salida</t>
        </is>
      </c>
    </row>
    <row r="8">
      <c r="A8" s="4" t="inlineStr">
        <is>
          <t>uber eats</t>
        </is>
      </c>
      <c r="B8" s="4" t="inlineStr">
        <is>
          <t>Delivery</t>
        </is>
      </c>
      <c r="F8" s="4" t="inlineStr">
        <is>
          <t>Nafta</t>
        </is>
      </c>
    </row>
    <row r="9">
      <c r="A9" s="4" t="inlineStr">
        <is>
          <t>delfin</t>
        </is>
      </c>
      <c r="B9" s="4" t="inlineStr">
        <is>
          <t>Supermercado</t>
        </is>
      </c>
      <c r="F9" s="4" t="inlineStr">
        <is>
          <t>Transporte</t>
        </is>
      </c>
    </row>
    <row r="10">
      <c r="A10" s="4" t="inlineStr">
        <is>
          <t>manzana</t>
        </is>
      </c>
      <c r="B10" s="4" t="inlineStr">
        <is>
          <t>Supermercado</t>
        </is>
      </c>
      <c r="F10" s="4" t="inlineStr">
        <is>
          <t>Veterinaria</t>
        </is>
      </c>
    </row>
    <row r="11">
      <c r="A11" s="4" t="inlineStr">
        <is>
          <t>manzanares</t>
        </is>
      </c>
      <c r="B11" s="4" t="inlineStr">
        <is>
          <t>Supermercado</t>
        </is>
      </c>
      <c r="F11" s="4" t="inlineStr">
        <is>
          <t>Farmacia</t>
        </is>
      </c>
    </row>
    <row r="12">
      <c r="A12" s="4" t="inlineStr">
        <is>
          <t>vacalin</t>
        </is>
      </c>
      <c r="B12" s="4" t="inlineStr">
        <is>
          <t>Supermercado</t>
        </is>
      </c>
      <c r="F12" s="4" t="inlineStr">
        <is>
          <t>Viaje</t>
        </is>
      </c>
    </row>
    <row r="13">
      <c r="A13" s="4" t="inlineStr">
        <is>
          <t>paroissien</t>
        </is>
      </c>
      <c r="B13" s="4" t="inlineStr">
        <is>
          <t>Supermercado</t>
        </is>
      </c>
      <c r="F13" s="4" t="inlineStr">
        <is>
          <t>Trámites</t>
        </is>
      </c>
    </row>
    <row r="14">
      <c r="A14" s="4" t="inlineStr">
        <is>
          <t>demente</t>
        </is>
      </c>
      <c r="B14" s="4" t="inlineStr">
        <is>
          <t>Supermercado</t>
        </is>
      </c>
      <c r="F14" s="4" t="inlineStr">
        <is>
          <t>Otros</t>
        </is>
      </c>
    </row>
    <row r="15">
      <c r="A15" s="4" t="inlineStr">
        <is>
          <t>quesos</t>
        </is>
      </c>
      <c r="B15" s="4" t="inlineStr">
        <is>
          <t>Supermercado</t>
        </is>
      </c>
    </row>
    <row r="16">
      <c r="A16" s="4" t="inlineStr">
        <is>
          <t>coto</t>
        </is>
      </c>
      <c r="B16" s="4" t="inlineStr">
        <is>
          <t>Supermercado</t>
        </is>
      </c>
    </row>
    <row r="17">
      <c r="A17" s="4" t="inlineStr">
        <is>
          <t>carrefour</t>
        </is>
      </c>
      <c r="B17" s="4" t="inlineStr">
        <is>
          <t>Supermercado</t>
        </is>
      </c>
    </row>
    <row r="18">
      <c r="A18" s="4" t="inlineStr">
        <is>
          <t>dia</t>
        </is>
      </c>
      <c r="B18" s="4" t="inlineStr">
        <is>
          <t>Supermercado</t>
        </is>
      </c>
    </row>
    <row r="19">
      <c r="A19" s="4" t="inlineStr">
        <is>
          <t>jumbo</t>
        </is>
      </c>
      <c r="B19" s="4" t="inlineStr">
        <is>
          <t>Supermercado</t>
        </is>
      </c>
    </row>
    <row r="20">
      <c r="A20" s="4" t="inlineStr">
        <is>
          <t>disco</t>
        </is>
      </c>
      <c r="B20" s="4" t="inlineStr">
        <is>
          <t>Supermercado</t>
        </is>
      </c>
    </row>
    <row r="21">
      <c r="A21" s="4" t="inlineStr">
        <is>
          <t>chango</t>
        </is>
      </c>
      <c r="B21" s="4" t="inlineStr">
        <is>
          <t>Supermercado</t>
        </is>
      </c>
    </row>
    <row r="22">
      <c r="A22" s="4" t="inlineStr">
        <is>
          <t>vea</t>
        </is>
      </c>
      <c r="B22" s="4" t="inlineStr">
        <is>
          <t>Supermercado</t>
        </is>
      </c>
    </row>
    <row r="23">
      <c r="A23" s="4" t="inlineStr">
        <is>
          <t>market</t>
        </is>
      </c>
      <c r="B23" s="4" t="inlineStr">
        <is>
          <t>Supermercado</t>
        </is>
      </c>
    </row>
    <row r="24">
      <c r="A24" s="4" t="inlineStr">
        <is>
          <t>rosetta</t>
        </is>
      </c>
      <c r="B24" s="4" t="inlineStr">
        <is>
          <t>Supermercado</t>
        </is>
      </c>
    </row>
    <row r="25">
      <c r="A25" s="4" t="inlineStr">
        <is>
          <t>verdu</t>
        </is>
      </c>
      <c r="B25" s="4" t="inlineStr">
        <is>
          <t>Verdulería</t>
        </is>
      </c>
    </row>
    <row r="26">
      <c r="A26" s="4" t="inlineStr">
        <is>
          <t>fruteria</t>
        </is>
      </c>
      <c r="B26" s="4" t="inlineStr">
        <is>
          <t>Verdulería</t>
        </is>
      </c>
    </row>
    <row r="27">
      <c r="A27" s="4" t="inlineStr">
        <is>
          <t>fruta</t>
        </is>
      </c>
      <c r="B27" s="4" t="inlineStr">
        <is>
          <t>Verdulería</t>
        </is>
      </c>
    </row>
    <row r="28">
      <c r="A28" s="4" t="inlineStr">
        <is>
          <t>café</t>
        </is>
      </c>
      <c r="B28" s="4" t="inlineStr">
        <is>
          <t>Cafecito</t>
        </is>
      </c>
    </row>
    <row r="29">
      <c r="A29" s="4" t="inlineStr">
        <is>
          <t>cafe</t>
        </is>
      </c>
      <c r="B29" s="4" t="inlineStr">
        <is>
          <t>Cafecito</t>
        </is>
      </c>
    </row>
    <row r="30">
      <c r="A30" s="4" t="inlineStr">
        <is>
          <t>solileb</t>
        </is>
      </c>
      <c r="B30" s="4" t="inlineStr">
        <is>
          <t>Cafecito</t>
        </is>
      </c>
    </row>
    <row r="31">
      <c r="A31" s="4" t="inlineStr">
        <is>
          <t>noire</t>
        </is>
      </c>
      <c r="B31" s="4" t="inlineStr">
        <is>
          <t>Cafecito</t>
        </is>
      </c>
    </row>
    <row r="32">
      <c r="A32" s="4" t="inlineStr">
        <is>
          <t>razo</t>
        </is>
      </c>
      <c r="B32" s="4" t="inlineStr">
        <is>
          <t>Cafecito</t>
        </is>
      </c>
    </row>
    <row r="33">
      <c r="A33" s="4" t="inlineStr">
        <is>
          <t>entre nos</t>
        </is>
      </c>
      <c r="B33" s="4" t="inlineStr">
        <is>
          <t>Cafecito</t>
        </is>
      </c>
    </row>
    <row r="34">
      <c r="A34" s="4" t="inlineStr">
        <is>
          <t>starbucks</t>
        </is>
      </c>
      <c r="B34" s="4" t="inlineStr">
        <is>
          <t>Cafecito</t>
        </is>
      </c>
    </row>
    <row r="35">
      <c r="A35" s="4" t="inlineStr">
        <is>
          <t>havanna</t>
        </is>
      </c>
      <c r="B35" s="4" t="inlineStr">
        <is>
          <t>Cafecito</t>
        </is>
      </c>
    </row>
    <row r="36">
      <c r="A36" s="4" t="inlineStr">
        <is>
          <t>parmegiano</t>
        </is>
      </c>
      <c r="B36" s="4" t="inlineStr">
        <is>
          <t>Restaurant</t>
        </is>
      </c>
    </row>
    <row r="37">
      <c r="A37" s="4" t="inlineStr">
        <is>
          <t>santicheese</t>
        </is>
      </c>
      <c r="B37" s="4" t="inlineStr">
        <is>
          <t>Restaurant</t>
        </is>
      </c>
    </row>
    <row r="38">
      <c r="A38" s="4" t="inlineStr">
        <is>
          <t>evelia</t>
        </is>
      </c>
      <c r="B38" s="4" t="inlineStr">
        <is>
          <t>Restaurant</t>
        </is>
      </c>
    </row>
    <row r="39">
      <c r="A39" s="4" t="inlineStr">
        <is>
          <t>hamburgues</t>
        </is>
      </c>
      <c r="B39" s="4" t="inlineStr">
        <is>
          <t>Restaurant</t>
        </is>
      </c>
    </row>
    <row r="40">
      <c r="A40" s="4" t="inlineStr">
        <is>
          <t>garcia</t>
        </is>
      </c>
      <c r="B40" s="4" t="inlineStr">
        <is>
          <t>Restaurant</t>
        </is>
      </c>
    </row>
    <row r="41">
      <c r="A41" s="4" t="inlineStr">
        <is>
          <t>resto</t>
        </is>
      </c>
      <c r="B41" s="4" t="inlineStr">
        <is>
          <t>Restaurant</t>
        </is>
      </c>
    </row>
    <row r="42">
      <c r="A42" s="4" t="inlineStr">
        <is>
          <t>parrilla</t>
        </is>
      </c>
      <c r="B42" s="4" t="inlineStr">
        <is>
          <t>Restaurant</t>
        </is>
      </c>
    </row>
    <row r="43">
      <c r="A43" s="4" t="inlineStr">
        <is>
          <t>pizza</t>
        </is>
      </c>
      <c r="B43" s="4" t="inlineStr">
        <is>
          <t>Restaurant</t>
        </is>
      </c>
    </row>
    <row r="44">
      <c r="A44" s="4" t="inlineStr">
        <is>
          <t>sushi</t>
        </is>
      </c>
      <c r="B44" s="4" t="inlineStr">
        <is>
          <t>Restaurant</t>
        </is>
      </c>
    </row>
    <row r="45">
      <c r="A45" s="4" t="inlineStr">
        <is>
          <t>groovypets</t>
        </is>
      </c>
      <c r="B45" s="4" t="inlineStr">
        <is>
          <t>Veterinaria</t>
        </is>
      </c>
    </row>
    <row r="46">
      <c r="A46" s="4" t="inlineStr">
        <is>
          <t>veterin</t>
        </is>
      </c>
      <c r="B46" s="4" t="inlineStr">
        <is>
          <t>Veterinaria</t>
        </is>
      </c>
    </row>
    <row r="47">
      <c r="A47" s="4" t="inlineStr">
        <is>
          <t>mascota</t>
        </is>
      </c>
      <c r="B47" s="4" t="inlineStr">
        <is>
          <t>Veterinaria</t>
        </is>
      </c>
    </row>
    <row r="48">
      <c r="A48" s="4" t="inlineStr">
        <is>
          <t>royal canin</t>
        </is>
      </c>
      <c r="B48" s="4" t="inlineStr">
        <is>
          <t>Veterinaria</t>
        </is>
      </c>
    </row>
    <row r="49">
      <c r="A49" s="4" t="inlineStr">
        <is>
          <t>pet</t>
        </is>
      </c>
      <c r="B49" s="4" t="inlineStr">
        <is>
          <t>Veterinaria</t>
        </is>
      </c>
    </row>
    <row r="50">
      <c r="A50" s="4" t="inlineStr">
        <is>
          <t>ypf</t>
        </is>
      </c>
      <c r="B50" s="4" t="inlineStr">
        <is>
          <t>Nafta</t>
        </is>
      </c>
    </row>
    <row r="51">
      <c r="A51" s="4" t="inlineStr">
        <is>
          <t>shell</t>
        </is>
      </c>
      <c r="B51" s="4" t="inlineStr">
        <is>
          <t>Nafta</t>
        </is>
      </c>
    </row>
    <row r="52">
      <c r="A52" s="4" t="inlineStr">
        <is>
          <t>axion</t>
        </is>
      </c>
      <c r="B52" s="4" t="inlineStr">
        <is>
          <t>Nafta</t>
        </is>
      </c>
    </row>
    <row r="53">
      <c r="A53" s="4" t="inlineStr">
        <is>
          <t>puma</t>
        </is>
      </c>
      <c r="B53" s="4" t="inlineStr">
        <is>
          <t>Nafta</t>
        </is>
      </c>
    </row>
    <row r="54">
      <c r="A54" s="4" t="inlineStr">
        <is>
          <t>nafta</t>
        </is>
      </c>
      <c r="B54" s="4" t="inlineStr">
        <is>
          <t>Nafta</t>
        </is>
      </c>
    </row>
    <row r="55">
      <c r="A55" s="4" t="inlineStr">
        <is>
          <t>jetsmart</t>
        </is>
      </c>
      <c r="B55" s="4" t="inlineStr">
        <is>
          <t>Viaje</t>
        </is>
      </c>
    </row>
    <row r="56">
      <c r="A56" s="4" t="inlineStr">
        <is>
          <t>latam</t>
        </is>
      </c>
      <c r="B56" s="4" t="inlineStr">
        <is>
          <t>Viaje</t>
        </is>
      </c>
    </row>
    <row r="57">
      <c r="A57" s="4" t="inlineStr">
        <is>
          <t>aerolineas</t>
        </is>
      </c>
      <c r="B57" s="4" t="inlineStr">
        <is>
          <t>Viaje</t>
        </is>
      </c>
    </row>
    <row r="58">
      <c r="A58" s="4" t="inlineStr">
        <is>
          <t>despegar</t>
        </is>
      </c>
      <c r="B58" s="4" t="inlineStr">
        <is>
          <t>Viaje</t>
        </is>
      </c>
    </row>
    <row r="59">
      <c r="A59" s="4" t="inlineStr">
        <is>
          <t>almundo</t>
        </is>
      </c>
      <c r="B59" s="4" t="inlineStr">
        <is>
          <t>Viaje</t>
        </is>
      </c>
    </row>
    <row r="60">
      <c r="A60" s="4" t="inlineStr">
        <is>
          <t>booking</t>
        </is>
      </c>
      <c r="B60" s="4" t="inlineStr">
        <is>
          <t>Viaje</t>
        </is>
      </c>
    </row>
    <row r="61">
      <c r="A61" s="4" t="inlineStr">
        <is>
          <t>airbnb</t>
        </is>
      </c>
      <c r="B61" s="4" t="inlineStr">
        <is>
          <t>Viaje</t>
        </is>
      </c>
    </row>
    <row r="62">
      <c r="A62" s="4" t="inlineStr">
        <is>
          <t>farmacia</t>
        </is>
      </c>
      <c r="B62" s="4" t="inlineStr">
        <is>
          <t>Farmacia</t>
        </is>
      </c>
    </row>
    <row r="63">
      <c r="A63" s="4" t="inlineStr">
        <is>
          <t>soytufarmacia</t>
        </is>
      </c>
      <c r="B63" s="4" t="inlineStr">
        <is>
          <t>Farmacia</t>
        </is>
      </c>
    </row>
    <row r="64">
      <c r="A64" s="4" t="inlineStr">
        <is>
          <t>farmacity</t>
        </is>
      </c>
      <c r="B64" s="4" t="inlineStr">
        <is>
          <t>Farmacia</t>
        </is>
      </c>
    </row>
    <row r="65">
      <c r="A65" s="4" t="inlineStr">
        <is>
          <t>cabify</t>
        </is>
      </c>
      <c r="B65" s="4" t="inlineStr">
        <is>
          <t>Transporte</t>
        </is>
      </c>
    </row>
    <row r="66">
      <c r="A66" s="4" t="inlineStr">
        <is>
          <t>uber</t>
        </is>
      </c>
      <c r="B66" s="4" t="inlineStr">
        <is>
          <t>Transporte</t>
        </is>
      </c>
    </row>
    <row r="67">
      <c r="A67" s="4" t="inlineStr">
        <is>
          <t>sube</t>
        </is>
      </c>
      <c r="B67" s="4" t="inlineStr">
        <is>
          <t>Transporte</t>
        </is>
      </c>
    </row>
    <row r="68">
      <c r="A68" s="4" t="inlineStr">
        <is>
          <t>didi</t>
        </is>
      </c>
      <c r="B68" s="4" t="inlineStr">
        <is>
          <t>Transporte</t>
        </is>
      </c>
    </row>
    <row r="69">
      <c r="A69" s="4" t="inlineStr">
        <is>
          <t>rentas</t>
        </is>
      </c>
      <c r="B69" s="4" t="inlineStr">
        <is>
          <t>Trámites</t>
        </is>
      </c>
    </row>
    <row r="70">
      <c r="A70" s="4" t="inlineStr">
        <is>
          <t>afip</t>
        </is>
      </c>
      <c r="B70" s="4" t="inlineStr">
        <is>
          <t>Trámites</t>
        </is>
      </c>
    </row>
    <row r="71">
      <c r="A71" s="4" t="inlineStr">
        <is>
          <t>registro</t>
        </is>
      </c>
      <c r="B71" s="4" t="inlineStr">
        <is>
          <t>Trámites</t>
        </is>
      </c>
    </row>
    <row r="72">
      <c r="A72" s="4" t="inlineStr">
        <is>
          <t>tramite</t>
        </is>
      </c>
      <c r="B72" s="4" t="inlineStr">
        <is>
          <t>Trámites</t>
        </is>
      </c>
    </row>
    <row r="73">
      <c r="A73" s="4" t="inlineStr">
        <is>
          <t>h2soap</t>
        </is>
      </c>
      <c r="B73" s="4" t="inlineStr">
        <is>
          <t>Otros</t>
        </is>
      </c>
    </row>
    <row r="74">
      <c r="A74" s="4" t="inlineStr">
        <is>
          <t>monzon</t>
        </is>
      </c>
      <c r="B74" s="4" t="inlineStr">
        <is>
          <t>Otros</t>
        </is>
      </c>
    </row>
    <row r="75">
      <c r="A75" s="51" t="n"/>
      <c r="B75" s="51" t="n"/>
    </row>
    <row r="76">
      <c r="A76" s="51" t="n"/>
      <c r="B76" s="51" t="n"/>
    </row>
    <row r="77">
      <c r="A77" s="51" t="n"/>
      <c r="B77" s="51" t="n"/>
    </row>
    <row r="78">
      <c r="A78" s="51" t="n"/>
      <c r="B78" s="51" t="n"/>
    </row>
    <row r="79">
      <c r="A79" s="51" t="n"/>
      <c r="B79" s="51" t="n"/>
    </row>
    <row r="80">
      <c r="A80" s="51" t="n"/>
      <c r="B80" s="51" t="n"/>
    </row>
    <row r="81">
      <c r="A81" s="51" t="n"/>
      <c r="B81" s="51" t="n"/>
    </row>
    <row r="82">
      <c r="A82" s="51" t="n"/>
      <c r="B82" s="51" t="n"/>
    </row>
    <row r="83">
      <c r="A83" s="51" t="n"/>
      <c r="B83" s="51" t="n"/>
    </row>
    <row r="84">
      <c r="A84" s="51" t="n"/>
      <c r="B84" s="51" t="n"/>
    </row>
    <row r="85">
      <c r="A85" s="51" t="n"/>
      <c r="B85" s="51" t="n"/>
    </row>
    <row r="86">
      <c r="A86" s="51" t="n"/>
      <c r="B86" s="51" t="n"/>
    </row>
    <row r="87">
      <c r="A87" s="51" t="n"/>
      <c r="B87" s="51" t="n"/>
    </row>
    <row r="88">
      <c r="A88" s="51" t="n"/>
      <c r="B88" s="51" t="n"/>
    </row>
    <row r="89">
      <c r="A89" s="51" t="n"/>
      <c r="B89" s="51" t="n"/>
    </row>
    <row r="90">
      <c r="A90" s="51" t="n"/>
      <c r="B90" s="51" t="n"/>
    </row>
    <row r="91">
      <c r="A91" s="51" t="n"/>
      <c r="B91" s="51" t="n"/>
    </row>
    <row r="92">
      <c r="A92" s="51" t="n"/>
      <c r="B92" s="51" t="n"/>
    </row>
    <row r="93">
      <c r="A93" s="51" t="n"/>
      <c r="B93" s="51" t="n"/>
    </row>
    <row r="94">
      <c r="A94" s="51" t="n"/>
      <c r="B94" s="51" t="n"/>
    </row>
  </sheetData>
  <mergeCells count="2">
    <mergeCell ref="H2:K6"/>
    <mergeCell ref="A1:B1"/>
  </mergeCells>
  <pageMargins left="0.75" right="0.75" top="1" bottom="1" header="0.5" footer="0.5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2026-07-29T22:17:11Z</dcterms:created>
  <dcterms:modified xsi:type="dcterms:W3CDTF">2026-07-29T22:17:11Z</dcterms:modified>
</cp:coreProperties>
</file>